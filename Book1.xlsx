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co\Desktop\"/>
    </mc:Choice>
  </mc:AlternateContent>
  <xr:revisionPtr revIDLastSave="0" documentId="13_ncr:1_{621683B1-5040-4CA5-A6F3-150D6DF2550D}" xr6:coauthVersionLast="47" xr6:coauthVersionMax="47" xr10:uidLastSave="{00000000-0000-0000-0000-000000000000}"/>
  <bookViews>
    <workbookView xWindow="1812" yWindow="1812" windowWidth="18780" windowHeight="10008" xr2:uid="{37F25212-E300-4B9B-86C0-68511736B975}"/>
  </bookViews>
  <sheets>
    <sheet name="IRC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C2" i="1"/>
  <c r="B3" i="1"/>
  <c r="C3" i="1"/>
  <c r="B4" i="1"/>
  <c r="C4" i="1"/>
  <c r="B5" i="1"/>
  <c r="C5" i="1"/>
  <c r="B6" i="1"/>
  <c r="C6" i="1"/>
  <c r="B7" i="1"/>
  <c r="C7" i="1"/>
  <c r="B8" i="1"/>
  <c r="C8" i="1"/>
  <c r="B9" i="1"/>
  <c r="C9" i="1"/>
  <c r="B10" i="1"/>
  <c r="C10" i="1"/>
  <c r="B11" i="1"/>
  <c r="C11" i="1"/>
  <c r="B12" i="1"/>
  <c r="C12" i="1"/>
  <c r="B13" i="1"/>
  <c r="C13" i="1"/>
  <c r="B14" i="1"/>
  <c r="C14" i="1"/>
  <c r="B15" i="1"/>
  <c r="C15" i="1"/>
  <c r="B16" i="1"/>
  <c r="C16" i="1"/>
  <c r="B17" i="1"/>
  <c r="C17" i="1"/>
  <c r="B18" i="1"/>
  <c r="C18" i="1"/>
  <c r="B19" i="1"/>
  <c r="C19" i="1"/>
  <c r="B20" i="1"/>
  <c r="C20" i="1"/>
  <c r="B21" i="1"/>
  <c r="C21" i="1"/>
  <c r="B22" i="1"/>
  <c r="C22" i="1"/>
  <c r="B23" i="1"/>
  <c r="C23" i="1"/>
  <c r="B24" i="1"/>
  <c r="C24" i="1"/>
  <c r="B25" i="1"/>
  <c r="C25" i="1"/>
  <c r="B26" i="1"/>
  <c r="C26" i="1"/>
  <c r="B27" i="1"/>
  <c r="C27" i="1"/>
  <c r="B28" i="1"/>
  <c r="C28" i="1"/>
  <c r="B29" i="1"/>
  <c r="C29" i="1"/>
  <c r="B30" i="1"/>
  <c r="C30" i="1"/>
  <c r="B31" i="1"/>
  <c r="C31" i="1"/>
  <c r="B32" i="1"/>
  <c r="C32" i="1"/>
  <c r="B33" i="1"/>
  <c r="C33" i="1"/>
  <c r="B34" i="1"/>
  <c r="C34" i="1"/>
</calcChain>
</file>

<file path=xl/sharedStrings.xml><?xml version="1.0" encoding="utf-8"?>
<sst xmlns="http://schemas.openxmlformats.org/spreadsheetml/2006/main" count="34" uniqueCount="34">
  <si>
    <t>Vichada</t>
  </si>
  <si>
    <t>Vaupés</t>
  </si>
  <si>
    <t>Valle del Cauca</t>
  </si>
  <si>
    <t>Tolima</t>
  </si>
  <si>
    <t>Sucre</t>
  </si>
  <si>
    <t>Santander</t>
  </si>
  <si>
    <t>San Andrés y Providencia</t>
  </si>
  <si>
    <t>Risaralda</t>
  </si>
  <si>
    <t>Quindío</t>
  </si>
  <si>
    <t>Putumayo</t>
  </si>
  <si>
    <t>Norte de Santander</t>
  </si>
  <si>
    <t>Nariño</t>
  </si>
  <si>
    <t>Meta</t>
  </si>
  <si>
    <t>Magdalena</t>
  </si>
  <si>
    <t>La Guajira</t>
  </si>
  <si>
    <t>Huila</t>
  </si>
  <si>
    <t>Guaviare</t>
  </si>
  <si>
    <t>Guainía</t>
  </si>
  <si>
    <t>Cundinamarca</t>
  </si>
  <si>
    <t>Chocó</t>
  </si>
  <si>
    <t>Cesar</t>
  </si>
  <si>
    <t>Cauca</t>
  </si>
  <si>
    <t>Casanare</t>
  </si>
  <si>
    <t>Caquetá</t>
  </si>
  <si>
    <t>Caldas</t>
  </si>
  <si>
    <t>Boyacá</t>
  </si>
  <si>
    <t>Bolívar</t>
  </si>
  <si>
    <t>Bogota D.C</t>
  </si>
  <si>
    <t>Atlantico</t>
  </si>
  <si>
    <t>Arauca</t>
  </si>
  <si>
    <t>Antioquia</t>
  </si>
  <si>
    <t>Amazonas</t>
  </si>
  <si>
    <t>departamento</t>
  </si>
  <si>
    <t>Córdoba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</si>
</sst>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63731-00FE-45C8-86FA-E87452BBC541}">
  <dimension ref="A1:C34"/>
  <sheetViews>
    <sheetView tabSelected="1" workbookViewId="0">
      <selection activeCell="D9" sqref="D1:D9"/>
    </sheetView>
  </sheetViews>
  <sheetFormatPr defaultColWidth="11.44140625" defaultRowHeight="14.4" x14ac:dyDescent="0.3"/>
  <cols>
    <col min="4" max="5" width="11.33203125" customWidth="1"/>
  </cols>
  <sheetData>
    <row r="1" spans="1:3" x14ac:dyDescent="0.3">
      <c r="A1" t="s">
        <v>32</v>
      </c>
      <c r="B1">
        <v>2014</v>
      </c>
      <c r="C1">
        <v>2018</v>
      </c>
    </row>
    <row r="2" spans="1:3" x14ac:dyDescent="0.3">
      <c r="A2" t="s">
        <v>31</v>
      </c>
      <c r="B2">
        <f>AVERAGE(6.2,7.8,7,6.6,6.4,5,0,1.7,2.1,8,9.9)</f>
        <v>5.5181818181818185</v>
      </c>
      <c r="C2">
        <f>AVERAGE(4,3.6,5.3,3.6,4.7,4.1,2.8,2.9,4.2,5.7,4.6,3.7)</f>
        <v>4.1000000000000005</v>
      </c>
    </row>
    <row r="3" spans="1:3" x14ac:dyDescent="0.3">
      <c r="A3" t="s">
        <v>30</v>
      </c>
      <c r="B3">
        <f>AVERAGE(6.2,7.8,7,6.6,6.4,5,0,1.7,2.1,2.1,8,9.9)</f>
        <v>5.2333333333333334</v>
      </c>
      <c r="C3">
        <f>AVERAGE(4,3.6,5.3,3.6,4.7,4.1,2.8,2.9,4.2,5.7,4.6,3.7)</f>
        <v>4.1000000000000005</v>
      </c>
    </row>
    <row r="4" spans="1:3" x14ac:dyDescent="0.3">
      <c r="A4" t="s">
        <v>29</v>
      </c>
      <c r="B4">
        <f>AVERAGE(2.9,0.3,0,0,0.7,2.9,2.1,1.8,0,5,3.5)</f>
        <v>1.7454545454545454</v>
      </c>
      <c r="C4">
        <f>AVERAGE(0,0.3,4.8,1.3,5.5,2.1,0.6,7.1,1.5,0.7,10.1)</f>
        <v>3.0909090909090904</v>
      </c>
    </row>
    <row r="5" spans="1:3" x14ac:dyDescent="0.3">
      <c r="A5" t="s">
        <v>28</v>
      </c>
      <c r="B5">
        <f>AVERAGE(26.4,20.5,14.5,6.4,19.7,20,13.8,13.9,19.9,14.8,9.3,12.9)</f>
        <v>16.008333333333336</v>
      </c>
      <c r="C5">
        <f>AVERAGE(14.7,11.7,5.7,11,16.7,17.5,0,0.4,11,11.2,14.8,8.5)</f>
        <v>10.266666666666667</v>
      </c>
    </row>
    <row r="6" spans="1:3" x14ac:dyDescent="0.3">
      <c r="A6" t="s">
        <v>27</v>
      </c>
      <c r="B6">
        <f>AVERAGE(0,0.7,0,0,7.5,0,1.6,0,0,10.5)</f>
        <v>2.0299999999999998</v>
      </c>
      <c r="C6">
        <f>AVERAGE(6.1,4.1,0,13.9,2.3,11.1,52.7,8.2,11.2,0,0,0)</f>
        <v>9.1333333333333346</v>
      </c>
    </row>
    <row r="7" spans="1:3" x14ac:dyDescent="0.3">
      <c r="A7" t="s">
        <v>26</v>
      </c>
      <c r="B7">
        <f>AVERAGE(0,35.2,41,38.9,50,0,32.2,100,0,42.5,44,18)</f>
        <v>33.483333333333334</v>
      </c>
      <c r="C7">
        <f>AVERAGE(0,20.7,25.8,45.5,53.7,34,34.6,,0,0,0,18.8,27.2)</f>
        <v>20.023076923076925</v>
      </c>
    </row>
    <row r="8" spans="1:3" x14ac:dyDescent="0.3">
      <c r="A8" t="s">
        <v>25</v>
      </c>
      <c r="B8">
        <f>AVERAGE(0,7.4,11.3,8.1,9.8,34.9,34.5,28.2,32.8,33.6,37.1,29.4)</f>
        <v>22.258333333333329</v>
      </c>
      <c r="C8">
        <f>AVERAGE(0,15.2,21.4,30,29.7,24.5,26.8,20.4,25.2,33.3,28,0)</f>
        <v>21.208333333333332</v>
      </c>
    </row>
    <row r="9" spans="1:3" x14ac:dyDescent="0.3">
      <c r="A9" t="s">
        <v>24</v>
      </c>
      <c r="B9">
        <f>AVERAGE(69.2,54.5,54.9,53.1,45.3,41.2,53.2,67.3,50,48.8,52.2)</f>
        <v>53.609090909090916</v>
      </c>
      <c r="C9">
        <f>AVERAGE(0,30,21.2,25.3,24,40.2,50.8233,24.2,40.9,27.5,7.2)</f>
        <v>26.48393636363636</v>
      </c>
    </row>
    <row r="10" spans="1:3" x14ac:dyDescent="0.3">
      <c r="A10" t="s">
        <v>23</v>
      </c>
      <c r="B10">
        <f>AVERAGE(0,19,18.3,28.6,15.5,16.8,17.7,21.8,0,0,0,0)</f>
        <v>11.475000000000001</v>
      </c>
      <c r="C10">
        <f>AVERAGE(0,0,0,16.7,13.7,14.4,14.6,11.7,12.4,11.9,10,11.3)</f>
        <v>9.7249999999999996</v>
      </c>
    </row>
    <row r="11" spans="1:3" x14ac:dyDescent="0.3">
      <c r="A11" t="s">
        <v>22</v>
      </c>
      <c r="B11">
        <f>AVERAGE(9.8,10.7,12.3,13,15,21.4,37.7,39.4,27.6,34.3,21.7,16.2)</f>
        <v>21.591666666666665</v>
      </c>
      <c r="C11">
        <f>AVERAGE(12.6,16.2,14.8,21.9,19.1,29.4,15.5,17.9,19.8,8.5,7.3,18.6)</f>
        <v>16.8</v>
      </c>
    </row>
    <row r="12" spans="1:3" x14ac:dyDescent="0.3">
      <c r="A12" t="s">
        <v>21</v>
      </c>
      <c r="B12">
        <f>AVERAGE(0,0,0,21.4,21.4,17.3,25.5,15.5,25.1,22.1,17.5,12.9)</f>
        <v>14.891666666666666</v>
      </c>
      <c r="C12">
        <f>AVERAGE(0,13.8,12.6,9.7,17.1,15.2,13,10.1,11.4,14.2,15,8.7)</f>
        <v>11.733333333333333</v>
      </c>
    </row>
    <row r="13" spans="1:3" x14ac:dyDescent="0.3">
      <c r="A13" t="s">
        <v>20</v>
      </c>
      <c r="B13">
        <f>AVERAGE(24.7,22.1,25.4,24,3,0,0,0,0,0,0,0,0)</f>
        <v>7.6307692307692303</v>
      </c>
      <c r="C13">
        <f>AVERAGE(26.2,25.3,13.3,23.6,19.7,12.7,16.3,19,14.5,13.1,16.3,20.4)</f>
        <v>18.366666666666671</v>
      </c>
    </row>
    <row r="14" spans="1:3" x14ac:dyDescent="0.3">
      <c r="A14" t="s">
        <v>19</v>
      </c>
      <c r="B14">
        <f>AVERAGE(0,0,0,0,0,0,0,0,0,50,0,0)</f>
        <v>4.166666666666667</v>
      </c>
      <c r="C14">
        <f>AVERAGE(0,0,0,37.4,0,47,54.4,0,0,0,10,33.6)</f>
        <v>15.200000000000001</v>
      </c>
    </row>
    <row r="15" spans="1:3" x14ac:dyDescent="0.3">
      <c r="A15" t="s">
        <v>33</v>
      </c>
      <c r="B15">
        <f>AVERAGE(0,13.9,11.9,23.7,0,0,0,2.9,0,9,25.4,16.5)</f>
        <v>8.6083333333333325</v>
      </c>
      <c r="C15">
        <f>AVERAGE(0,0,0,0,0,19.7,12.8,10.2,0,14.2,19.1)</f>
        <v>6.9090909090909092</v>
      </c>
    </row>
    <row r="16" spans="1:3" x14ac:dyDescent="0.3">
      <c r="A16" t="s">
        <v>18</v>
      </c>
      <c r="B16">
        <f>AVERAGE(8.2,7.9,12.7,9.8,9.7,7.4,6.1,7.2,8.4,9.9,11.8,2.03)</f>
        <v>8.4275000000000002</v>
      </c>
      <c r="C16">
        <f>AVERAGE(9.9,12.8,9.1,13.3,15.1,7.6,7.7,9.1,6.7,10.1,8.4,7.39725)</f>
        <v>9.7664375000000003</v>
      </c>
    </row>
    <row r="17" spans="1:3" x14ac:dyDescent="0.3">
      <c r="A17" t="s">
        <v>17</v>
      </c>
      <c r="B17">
        <f>AVERAGE(30.9,57.5,44.4,24.7,37.2,11.6,51.3,32.9,12.5,53,37,44.9)</f>
        <v>36.49166666666666</v>
      </c>
      <c r="C17">
        <f>AVERAGE(0,60,60,60,60,68.2,3.5,2.6,23.5,2.6,2.6,0)</f>
        <v>28.583333333333339</v>
      </c>
    </row>
    <row r="18" spans="1:3" x14ac:dyDescent="0.3">
      <c r="A18" t="s">
        <v>16</v>
      </c>
      <c r="B18">
        <f>AVERAGE(0,0,0,0,0,0,0,0,0,0,0)</f>
        <v>0</v>
      </c>
      <c r="C18">
        <f>AVERAGE(0,2.8,3.1,6.6,6.843,2,8.5,9.6,8.8,19.7)</f>
        <v>6.7942999999999998</v>
      </c>
    </row>
    <row r="19" spans="1:3" x14ac:dyDescent="0.3">
      <c r="A19" t="s">
        <v>15</v>
      </c>
      <c r="B19">
        <f>AVERAGE(10.5,23.1,31.2,34,29.5,32.9,30.1,26,23,24.1,29.5,32.7)</f>
        <v>27.216666666666669</v>
      </c>
      <c r="C19">
        <f>AVERAGE(3.8,30,23.9,30,19.7,24.1,19.2,19.4,24.1,25,20.6)</f>
        <v>21.799999999999997</v>
      </c>
    </row>
    <row r="20" spans="1:3" x14ac:dyDescent="0.3">
      <c r="A20" t="s">
        <v>14</v>
      </c>
      <c r="B20">
        <f>AVERAGE(0,0,0,0,0,14.5,34.3,27.8,28.4,17.5,9.8,16.7)</f>
        <v>12.416666666666666</v>
      </c>
      <c r="C20">
        <f>AVERAGE(0,0,4.8,51.6,31.418,11.8,0,9.7,13.5,15.8,9.6)</f>
        <v>13.474363636363636</v>
      </c>
    </row>
    <row r="21" spans="1:3" x14ac:dyDescent="0.3">
      <c r="A21" t="s">
        <v>13</v>
      </c>
      <c r="B21">
        <f>AVERAGE(56.2,45.3,35.8,44.7,42.9,40.3,45.8,43.8,44.1,42.4,43,39.4)</f>
        <v>43.641666666666673</v>
      </c>
      <c r="C21">
        <f>AVERAGE(33.7,25.3,28.5,32.4,29.6,28.3,35.9,29.5,22.1,27,21.1,21.7)</f>
        <v>27.925000000000001</v>
      </c>
    </row>
    <row r="22" spans="1:3" x14ac:dyDescent="0.3">
      <c r="A22" t="s">
        <v>12</v>
      </c>
      <c r="B22">
        <f>AVERAGE(23.2,39.6,39.9,31.5,26.7,29.5,18.1,31.2,26.4,40.5,28.8,40.6)</f>
        <v>31.333333333333332</v>
      </c>
      <c r="C22">
        <f>AVERAGE(29.1,0,33.4,22.4,21,0.9,18,16.8,22.6,22.8,23.2,15.8)</f>
        <v>18.833333333333336</v>
      </c>
    </row>
    <row r="23" spans="1:3" x14ac:dyDescent="0.3">
      <c r="A23" t="s">
        <v>11</v>
      </c>
      <c r="B23">
        <f>AVERAGE(48.1,45.9,46.5,45.7,45.6,43.6,39.5,44.7,48.9,53.7,47)</f>
        <v>46.290909090909082</v>
      </c>
      <c r="C23">
        <f>AVERAGE(0,43.1,39,40.8,42.4,33.8,41.3,37.9,40.8,41.8,42.5,42.2)</f>
        <v>37.133333333333333</v>
      </c>
    </row>
    <row r="24" spans="1:3" x14ac:dyDescent="0.3">
      <c r="A24" t="s">
        <v>10</v>
      </c>
      <c r="B24">
        <f>AVERAGE(2.8,25.4,18.1,5.1,6.1,13.6,14.3,6.3,10.8,33.6,22.6,10.7)</f>
        <v>14.116666666666665</v>
      </c>
      <c r="C24">
        <f>AVERAGE(0,5.3,32.6,10.8,31.1,33.2,0,5.2,23.6,8.7,0,3.6)</f>
        <v>12.841666666666667</v>
      </c>
    </row>
    <row r="25" spans="1:3" x14ac:dyDescent="0.3">
      <c r="A25" t="s">
        <v>9</v>
      </c>
      <c r="B25">
        <f>AVERAGE(48.9,68.9,46.9,54.1,38.6,67,43.7,53,12.1,0,0,76.9)</f>
        <v>42.508333333333333</v>
      </c>
      <c r="C25">
        <f>AVERAGE(26.9,28.3,22.4,37.9,23.5,29.5,27.2,20.8,17.7,12.6,23.8,,36.8)</f>
        <v>23.646153846153844</v>
      </c>
    </row>
    <row r="26" spans="1:3" x14ac:dyDescent="0.3">
      <c r="A26" t="s">
        <v>8</v>
      </c>
      <c r="B26">
        <f>AVERAGE(0.6,0,3,1.2,0.1,0,0.7,1,3.8,4.5,5.1,5)</f>
        <v>2.0833333333333335</v>
      </c>
      <c r="C26">
        <f>AVERAGE(3,3.3,1.6,3.6,5.5,0.4,4.2,0.3,4.2,8.2,4.5,6.6)</f>
        <v>3.7833333333333332</v>
      </c>
    </row>
    <row r="27" spans="1:3" x14ac:dyDescent="0.3">
      <c r="A27" t="s">
        <v>7</v>
      </c>
      <c r="B27">
        <f>AVERAGE(1.1,34.5,30.4,26.1,18.5,31.3,5.8,11.5,29.3,3.2)</f>
        <v>19.170000000000002</v>
      </c>
      <c r="C27">
        <f>AVERAGE(0,39.8,29.7,33.6,36.8,26,34.7,31.1,33.1,2.5,1.8,20.8)</f>
        <v>24.158333333333331</v>
      </c>
    </row>
    <row r="28" spans="1:3" x14ac:dyDescent="0.3">
      <c r="A28" t="s">
        <v>6</v>
      </c>
      <c r="B28">
        <f>AVERAGE(0,0.6,0,0,0,0,0,0,10.7,0.9,29.7,28.4)</f>
        <v>5.8583333333333334</v>
      </c>
      <c r="C28">
        <f>AVERAGE(0,38.6,2.3,23.5,2.7,0,0,0,1.5,39.6,1.2,0.6)</f>
        <v>9.1666666666666679</v>
      </c>
    </row>
    <row r="29" spans="1:3" x14ac:dyDescent="0.3">
      <c r="A29" t="s">
        <v>5</v>
      </c>
      <c r="B29">
        <f>AVERAGE(1.9,5,7.8,10.6,15.7,16.8,15.4,25.6,22.7,20.4,15.3,11.1)</f>
        <v>14.025</v>
      </c>
      <c r="C29">
        <f>AVERAGE(9.5,8.3,9,11.1,12.2,10,8.9,9,11.1,12.3,10.5,5.5)</f>
        <v>9.7833333333333332</v>
      </c>
    </row>
    <row r="30" spans="1:3" x14ac:dyDescent="0.3">
      <c r="A30" t="s">
        <v>4</v>
      </c>
      <c r="B30">
        <f>AVERAGE(9.6,20.5,20.5,24.5,17,14.4,17.1,13.1,11.8,10.9,7.3,18.5)</f>
        <v>15.433333333333335</v>
      </c>
      <c r="C30">
        <f>AVERAGE(0,21.6,19.8,0,22,23.2,17.1,6.6,10.6,18.5,14.2,0)</f>
        <v>12.799999999999999</v>
      </c>
    </row>
    <row r="31" spans="1:3" x14ac:dyDescent="0.3">
      <c r="A31" t="s">
        <v>3</v>
      </c>
      <c r="B31">
        <f>AVERAGE(13.6,22,31.4,15.1,39.1,19,29.7,20.2,18.7,25.4,0.3,27.2)</f>
        <v>21.808333333333334</v>
      </c>
      <c r="C31">
        <f>AVERAGE(0,64.4,28.8,23.3,13.4,16.3,15.1,17.8,16.9,22.9,25.9,21.4)</f>
        <v>22.183333333333337</v>
      </c>
    </row>
    <row r="32" spans="1:3" x14ac:dyDescent="0.3">
      <c r="A32" t="s">
        <v>2</v>
      </c>
      <c r="B32">
        <f>AVERAGE(3.1,7.3,7.1,16.3,9.9,9.3,11.9,7.7,7.6,2.1,6,3)</f>
        <v>7.6083333333333334</v>
      </c>
      <c r="C32">
        <f>AVERAGE(5.9,14.2,17.9,24,25.1,21.7,16.6,15.1,11.7,12.1,25.8,11.7)</f>
        <v>16.816666666666666</v>
      </c>
    </row>
    <row r="33" spans="1:3" x14ac:dyDescent="0.3">
      <c r="A33" t="s">
        <v>1</v>
      </c>
      <c r="B33">
        <f>AVERAGE(23.5,0,0,0,0,4.1,33,18.9,15.4,1.3,0,0.3)</f>
        <v>8.0416666666666661</v>
      </c>
      <c r="C33">
        <f>AVERAGE(53.8,0,0,100,50,39.1,68.8,9,9,50,20,28.1)</f>
        <v>35.65</v>
      </c>
    </row>
    <row r="34" spans="1:3" x14ac:dyDescent="0.3">
      <c r="A34" t="s">
        <v>0</v>
      </c>
      <c r="B34">
        <f>AVERAGE(16.5,24.1,30.4,23.7,0,22.5,28.6,24,17.3,12.9,61.7,0)</f>
        <v>21.808333333333337</v>
      </c>
      <c r="C34">
        <f>AVERAGE(9.2,10.3,1.2,27,15,18.8,7.3,17.4,33.5,20.8,18.6,22.1)</f>
        <v>16.766666666666666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sebastian zapata acosta</dc:creator>
  <cp:lastModifiedBy>juan sebastian zapata acosta</cp:lastModifiedBy>
  <dcterms:created xsi:type="dcterms:W3CDTF">2022-11-29T18:54:08Z</dcterms:created>
  <dcterms:modified xsi:type="dcterms:W3CDTF">2022-11-29T20:15:52Z</dcterms:modified>
</cp:coreProperties>
</file>