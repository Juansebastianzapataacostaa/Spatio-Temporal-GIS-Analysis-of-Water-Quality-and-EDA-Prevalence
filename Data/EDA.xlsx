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eco\Downloads\"/>
    </mc:Choice>
  </mc:AlternateContent>
  <xr:revisionPtr revIDLastSave="0" documentId="13_ncr:1_{0A2B03E7-B633-4A65-89AE-2E2C5A3E7CFD}" xr6:coauthVersionLast="47" xr6:coauthVersionMax="47" xr10:uidLastSave="{00000000-0000-0000-0000-000000000000}"/>
  <bookViews>
    <workbookView xWindow="1464" yWindow="1464" windowWidth="18780" windowHeight="10008" firstSheet="2" activeTab="2" xr2:uid="{F1B17334-F3AB-4192-A43C-76102C9D4E18}"/>
  </bookViews>
  <sheets>
    <sheet name="EDA Incidencia" sheetId="1" r:id="rId1"/>
    <sheet name="EDA mortalidad" sheetId="2" r:id="rId2"/>
    <sheet name="IRCA" sheetId="3" r:id="rId3"/>
  </sheets>
  <definedNames>
    <definedName name="_xlnm._FilterDatabase" localSheetId="0" hidden="1">'EDA Incidencia'!$A$2:$K$39</definedName>
    <definedName name="_xlnm._FilterDatabase" localSheetId="1" hidden="1">'EDA mortalidad'!$A$1:$H$39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4" i="3" l="1"/>
  <c r="B34" i="3"/>
  <c r="C33" i="3"/>
  <c r="B33" i="3"/>
  <c r="C32" i="3"/>
  <c r="B32" i="3"/>
  <c r="C31" i="3"/>
  <c r="B31" i="3"/>
  <c r="C30" i="3"/>
  <c r="B30" i="3"/>
  <c r="C29" i="3"/>
  <c r="B29" i="3"/>
  <c r="C27" i="3"/>
  <c r="B27" i="3"/>
  <c r="C26" i="3"/>
  <c r="B26" i="3"/>
  <c r="C25" i="3"/>
  <c r="B25" i="3"/>
  <c r="C24" i="3"/>
  <c r="B24" i="3"/>
  <c r="C23" i="3"/>
  <c r="B23" i="3"/>
  <c r="C22" i="3"/>
  <c r="B22" i="3"/>
  <c r="C21" i="3"/>
  <c r="B21" i="3"/>
  <c r="C20" i="3"/>
  <c r="B20" i="3"/>
  <c r="C19" i="3"/>
  <c r="B19" i="3"/>
  <c r="C18" i="3"/>
  <c r="B18" i="3"/>
  <c r="C17" i="3"/>
  <c r="B17" i="3"/>
  <c r="C16" i="3"/>
  <c r="B16" i="3"/>
  <c r="C15" i="3"/>
  <c r="B15" i="3"/>
  <c r="C14" i="3"/>
  <c r="B14" i="3"/>
  <c r="C13" i="3"/>
  <c r="C6" i="3"/>
  <c r="B13" i="3"/>
  <c r="C12" i="3"/>
  <c r="B12" i="3"/>
  <c r="C11" i="3"/>
  <c r="B11" i="3"/>
  <c r="C10" i="3"/>
  <c r="B10" i="3"/>
  <c r="C9" i="3"/>
  <c r="B9" i="3"/>
  <c r="C28" i="3"/>
  <c r="B28" i="3"/>
  <c r="C8" i="3"/>
  <c r="C7" i="3"/>
  <c r="C5" i="3"/>
  <c r="C4" i="3"/>
  <c r="C3" i="3"/>
  <c r="C2" i="3"/>
  <c r="B8" i="3"/>
  <c r="H7" i="3"/>
  <c r="B7" i="3"/>
  <c r="H6" i="3"/>
  <c r="B6" i="3"/>
  <c r="H5" i="3"/>
  <c r="G5" i="3"/>
  <c r="F5" i="3"/>
  <c r="D5" i="3"/>
  <c r="B5" i="3"/>
  <c r="G9" i="2"/>
  <c r="G25" i="2"/>
  <c r="G8" i="2"/>
  <c r="G10" i="2"/>
  <c r="G12" i="2"/>
  <c r="G13" i="2"/>
  <c r="G15" i="2"/>
  <c r="G16" i="2"/>
  <c r="G17" i="2"/>
  <c r="G18" i="2"/>
  <c r="G19" i="2"/>
  <c r="G20" i="2"/>
  <c r="G21" i="2"/>
  <c r="G22" i="2"/>
  <c r="G23" i="2"/>
  <c r="G24" i="2"/>
  <c r="G26" i="2"/>
  <c r="G27" i="2"/>
  <c r="G28" i="2"/>
  <c r="G29" i="2"/>
  <c r="G30" i="2"/>
  <c r="G31" i="2"/>
  <c r="G32" i="2"/>
  <c r="G34" i="2"/>
  <c r="G35" i="2"/>
  <c r="G36" i="2"/>
  <c r="G37" i="2"/>
  <c r="G38" i="2"/>
  <c r="G39" i="2"/>
  <c r="G4" i="2"/>
  <c r="G5" i="2"/>
  <c r="G6" i="2"/>
  <c r="G3" i="2"/>
  <c r="H39" i="2"/>
  <c r="H38" i="2"/>
  <c r="H37" i="2"/>
  <c r="H36" i="2"/>
  <c r="H35" i="2"/>
  <c r="H33" i="2"/>
  <c r="H34" i="2"/>
  <c r="H31" i="2"/>
  <c r="H30" i="2"/>
  <c r="H29" i="2"/>
  <c r="H28" i="2"/>
  <c r="H27" i="2"/>
  <c r="H26" i="2"/>
  <c r="H25" i="2"/>
  <c r="H24" i="2"/>
  <c r="H23" i="2"/>
  <c r="H21" i="2"/>
  <c r="H20" i="2"/>
  <c r="H19" i="2"/>
  <c r="H18" i="2"/>
  <c r="H17" i="2"/>
  <c r="H16" i="2"/>
  <c r="H13" i="2"/>
  <c r="H12" i="2"/>
  <c r="H10" i="2"/>
  <c r="H7" i="2"/>
  <c r="H6" i="2"/>
  <c r="H5" i="2"/>
  <c r="H4" i="3"/>
  <c r="G4" i="3"/>
  <c r="F4" i="3"/>
  <c r="D4" i="3"/>
  <c r="B4" i="3"/>
  <c r="H3" i="3"/>
  <c r="G3" i="3"/>
  <c r="F3" i="3"/>
  <c r="D3" i="3"/>
  <c r="B3" i="3"/>
  <c r="H2" i="3"/>
  <c r="B2" i="3"/>
  <c r="D2" i="3"/>
  <c r="F2" i="3"/>
  <c r="G2" i="3"/>
</calcChain>
</file>

<file path=xl/sharedStrings.xml><?xml version="1.0" encoding="utf-8"?>
<sst xmlns="http://schemas.openxmlformats.org/spreadsheetml/2006/main" count="139" uniqueCount="46">
  <si>
    <t>Entidad territorial</t>
  </si>
  <si>
    <t>Número de casos notificados</t>
  </si>
  <si>
    <t>Incidencia por 1000 habitantes</t>
  </si>
  <si>
    <t>Amazonas</t>
  </si>
  <si>
    <t>Antioquia</t>
  </si>
  <si>
    <t>Arauca</t>
  </si>
  <si>
    <t>Atlántico</t>
  </si>
  <si>
    <t>Barranquilla</t>
  </si>
  <si>
    <t>Bogotá D.C.</t>
  </si>
  <si>
    <t>Bolívar</t>
  </si>
  <si>
    <t>Boyacá</t>
  </si>
  <si>
    <t>Buenaventura</t>
  </si>
  <si>
    <t>-</t>
  </si>
  <si>
    <t>Caldas</t>
  </si>
  <si>
    <t>Caquetá</t>
  </si>
  <si>
    <t>Cartagena</t>
  </si>
  <si>
    <t>Casanare</t>
  </si>
  <si>
    <t>Cauca</t>
  </si>
  <si>
    <t>Cesar</t>
  </si>
  <si>
    <t>Chocó</t>
  </si>
  <si>
    <t>Córdoba</t>
  </si>
  <si>
    <t>Cundinamarca</t>
  </si>
  <si>
    <t>Guainía</t>
  </si>
  <si>
    <t>Guaviare</t>
  </si>
  <si>
    <t>Huila</t>
  </si>
  <si>
    <t>La Guajira</t>
  </si>
  <si>
    <t>Magdalena</t>
  </si>
  <si>
    <t>Meta</t>
  </si>
  <si>
    <t>Nariño</t>
  </si>
  <si>
    <t>Norte de Santander</t>
  </si>
  <si>
    <t>Putumayo</t>
  </si>
  <si>
    <t>Quindío</t>
  </si>
  <si>
    <t>Risaralda</t>
  </si>
  <si>
    <t>San Andrés y Providencia</t>
  </si>
  <si>
    <t>Santa Marta</t>
  </si>
  <si>
    <t>Santander</t>
  </si>
  <si>
    <t>Sucre</t>
  </si>
  <si>
    <t>Tolima</t>
  </si>
  <si>
    <t>Valle del Cauca</t>
  </si>
  <si>
    <t>Vaupés</t>
  </si>
  <si>
    <t>Vichada</t>
  </si>
  <si>
    <t>Poblacion departamentos</t>
  </si>
  <si>
    <t>Atlantico</t>
  </si>
  <si>
    <t>Bogota D.C</t>
  </si>
  <si>
    <t xml:space="preserve">Córdoba </t>
  </si>
  <si>
    <t>departamento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</si>
</sst>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7C278-A811-4F37-9AEE-CD95EC47C7DF}">
  <dimension ref="A1:O39"/>
  <sheetViews>
    <sheetView zoomScale="80" zoomScaleNormal="80" workbookViewId="0">
      <pane xSplit="1" topLeftCell="B1" activePane="topRight" state="frozen"/>
      <selection pane="topRight" activeCell="G44" sqref="G44"/>
    </sheetView>
  </sheetViews>
  <sheetFormatPr defaultColWidth="11.44140625" defaultRowHeight="14.4" x14ac:dyDescent="0.3"/>
  <cols>
    <col min="1" max="1" width="23.44140625" style="1" bestFit="1" customWidth="1"/>
    <col min="2" max="2" width="26.88671875" style="1" bestFit="1" customWidth="1"/>
    <col min="3" max="3" width="28.109375" style="1" bestFit="1" customWidth="1"/>
    <col min="4" max="4" width="26.88671875" style="1" bestFit="1" customWidth="1"/>
    <col min="5" max="5" width="28.109375" style="1" bestFit="1" customWidth="1"/>
    <col min="6" max="6" width="26.88671875" style="1" bestFit="1" customWidth="1"/>
    <col min="7" max="7" width="28.109375" style="1" bestFit="1" customWidth="1"/>
    <col min="8" max="8" width="26.88671875" style="1" bestFit="1" customWidth="1"/>
    <col min="9" max="9" width="28.109375" style="1" bestFit="1" customWidth="1"/>
    <col min="10" max="10" width="26.88671875" style="1" bestFit="1" customWidth="1"/>
    <col min="11" max="11" width="28.109375" style="1" bestFit="1" customWidth="1"/>
    <col min="12" max="12" width="26.88671875" style="1" bestFit="1" customWidth="1"/>
    <col min="13" max="13" width="28.109375" style="1" bestFit="1" customWidth="1"/>
  </cols>
  <sheetData>
    <row r="1" spans="1:15" x14ac:dyDescent="0.3">
      <c r="A1" s="3" t="s">
        <v>0</v>
      </c>
      <c r="B1" s="3">
        <v>2015</v>
      </c>
      <c r="C1" s="3"/>
      <c r="D1" s="3">
        <v>2016</v>
      </c>
      <c r="E1" s="3"/>
      <c r="F1" s="3">
        <v>2017</v>
      </c>
      <c r="G1" s="3"/>
      <c r="H1" s="3">
        <v>2018</v>
      </c>
      <c r="I1" s="3"/>
      <c r="J1" s="3">
        <v>2014</v>
      </c>
      <c r="K1" s="3"/>
      <c r="N1" s="2">
        <v>2019</v>
      </c>
      <c r="O1" s="2"/>
    </row>
    <row r="2" spans="1:15" x14ac:dyDescent="0.3">
      <c r="A2" s="3"/>
      <c r="B2" s="1" t="s">
        <v>1</v>
      </c>
      <c r="C2" s="1" t="s">
        <v>2</v>
      </c>
      <c r="D2" s="1" t="s">
        <v>1</v>
      </c>
      <c r="E2" s="1" t="s">
        <v>2</v>
      </c>
      <c r="F2" s="1" t="s">
        <v>1</v>
      </c>
      <c r="G2" s="1" t="s">
        <v>2</v>
      </c>
      <c r="H2" s="1" t="s">
        <v>1</v>
      </c>
      <c r="I2" s="1" t="s">
        <v>2</v>
      </c>
      <c r="J2" s="1" t="s">
        <v>1</v>
      </c>
      <c r="K2" s="1" t="s">
        <v>2</v>
      </c>
      <c r="N2" s="1" t="s">
        <v>1</v>
      </c>
      <c r="O2" s="1" t="s">
        <v>2</v>
      </c>
    </row>
    <row r="3" spans="1:15" x14ac:dyDescent="0.3">
      <c r="A3" s="1" t="s">
        <v>3</v>
      </c>
      <c r="B3" s="1">
        <v>7872</v>
      </c>
      <c r="C3" s="1">
        <v>103.2</v>
      </c>
      <c r="D3" s="1">
        <v>6057</v>
      </c>
      <c r="E3" s="1">
        <v>78.599999999999994</v>
      </c>
      <c r="F3" s="1">
        <v>5958</v>
      </c>
      <c r="G3" s="1">
        <v>76.400000000000006</v>
      </c>
      <c r="H3" s="1">
        <v>6422</v>
      </c>
      <c r="I3" s="1">
        <v>81.5</v>
      </c>
      <c r="J3" s="1">
        <v>7120</v>
      </c>
      <c r="K3" s="1">
        <v>94.4</v>
      </c>
    </row>
    <row r="4" spans="1:15" x14ac:dyDescent="0.3">
      <c r="A4" s="1" t="s">
        <v>4</v>
      </c>
      <c r="B4" s="1">
        <v>411206</v>
      </c>
      <c r="C4" s="1">
        <v>63.7</v>
      </c>
      <c r="D4" s="1">
        <v>479393</v>
      </c>
      <c r="E4" s="1">
        <v>73.400000000000006</v>
      </c>
      <c r="F4" s="1">
        <v>459381</v>
      </c>
      <c r="G4" s="1">
        <v>69.5</v>
      </c>
      <c r="H4" s="1">
        <v>496616</v>
      </c>
      <c r="I4" s="1">
        <v>74.2</v>
      </c>
      <c r="J4" s="1">
        <v>395856</v>
      </c>
      <c r="K4" s="1">
        <v>62.1</v>
      </c>
    </row>
    <row r="5" spans="1:15" x14ac:dyDescent="0.3">
      <c r="A5" s="1" t="s">
        <v>5</v>
      </c>
      <c r="B5" s="1">
        <v>9305</v>
      </c>
      <c r="C5" s="1">
        <v>35.5</v>
      </c>
      <c r="D5" s="1">
        <v>9966</v>
      </c>
      <c r="E5" s="1">
        <v>37.6</v>
      </c>
      <c r="F5" s="1">
        <v>9169</v>
      </c>
      <c r="G5" s="1">
        <v>34.200000000000003</v>
      </c>
      <c r="H5" s="1">
        <v>9918</v>
      </c>
      <c r="I5" s="1">
        <v>36.6</v>
      </c>
      <c r="J5" s="1">
        <v>9127</v>
      </c>
      <c r="K5" s="1">
        <v>35.200000000000003</v>
      </c>
    </row>
    <row r="6" spans="1:15" x14ac:dyDescent="0.3">
      <c r="A6" s="1" t="s">
        <v>6</v>
      </c>
      <c r="B6" s="1">
        <v>64628</v>
      </c>
      <c r="C6" s="1">
        <v>52</v>
      </c>
      <c r="D6" s="1">
        <v>57206</v>
      </c>
      <c r="E6" s="1">
        <v>45.2</v>
      </c>
      <c r="F6" s="1">
        <v>56446</v>
      </c>
      <c r="G6" s="1">
        <v>43.8</v>
      </c>
      <c r="H6" s="1">
        <v>61299</v>
      </c>
      <c r="I6" s="1">
        <v>46.7</v>
      </c>
      <c r="J6" s="1">
        <v>46482</v>
      </c>
      <c r="K6" s="1">
        <v>38.1</v>
      </c>
    </row>
    <row r="7" spans="1:15" x14ac:dyDescent="0.3">
      <c r="A7" s="1" t="s">
        <v>7</v>
      </c>
      <c r="B7" s="1">
        <v>81037</v>
      </c>
      <c r="C7" s="1">
        <v>66.5</v>
      </c>
      <c r="D7" s="1">
        <v>86890</v>
      </c>
      <c r="E7" s="1">
        <v>71</v>
      </c>
      <c r="F7" s="1">
        <v>81478</v>
      </c>
      <c r="G7" s="1">
        <v>66.3</v>
      </c>
      <c r="H7" s="1">
        <v>96877</v>
      </c>
      <c r="I7" s="1">
        <v>78.599999999999994</v>
      </c>
      <c r="J7" s="1">
        <v>7884</v>
      </c>
      <c r="K7" s="1">
        <v>65</v>
      </c>
    </row>
    <row r="8" spans="1:15" x14ac:dyDescent="0.3">
      <c r="A8" s="1" t="s">
        <v>8</v>
      </c>
      <c r="B8" s="1">
        <v>788586</v>
      </c>
      <c r="C8" s="1">
        <v>100.1</v>
      </c>
      <c r="D8" s="1">
        <v>839178</v>
      </c>
      <c r="E8" s="1">
        <v>105.2</v>
      </c>
      <c r="F8" s="1">
        <v>829263</v>
      </c>
      <c r="G8" s="1">
        <v>102.6</v>
      </c>
      <c r="H8" s="1">
        <v>863218</v>
      </c>
      <c r="I8" s="1">
        <v>105.5</v>
      </c>
      <c r="J8" s="1">
        <v>725253</v>
      </c>
      <c r="K8" s="1">
        <v>93.3</v>
      </c>
    </row>
    <row r="9" spans="1:15" x14ac:dyDescent="0.3">
      <c r="A9" s="1" t="s">
        <v>9</v>
      </c>
      <c r="B9" s="1">
        <v>43414</v>
      </c>
      <c r="C9" s="1">
        <v>39.6</v>
      </c>
      <c r="D9" s="1">
        <v>42352</v>
      </c>
      <c r="E9" s="1">
        <v>38.200000000000003</v>
      </c>
      <c r="F9" s="1">
        <v>36837</v>
      </c>
      <c r="G9" s="1">
        <v>32.799999999999997</v>
      </c>
      <c r="H9" s="1">
        <v>40251</v>
      </c>
      <c r="I9" s="1">
        <v>35.5</v>
      </c>
      <c r="J9" s="1">
        <v>40809</v>
      </c>
      <c r="K9" s="1">
        <v>37.700000000000003</v>
      </c>
    </row>
    <row r="10" spans="1:15" x14ac:dyDescent="0.3">
      <c r="A10" s="1" t="s">
        <v>10</v>
      </c>
      <c r="B10" s="1">
        <v>64408</v>
      </c>
      <c r="C10" s="1">
        <v>50.5</v>
      </c>
      <c r="D10" s="1">
        <v>65477</v>
      </c>
      <c r="E10" s="1">
        <v>51.2</v>
      </c>
      <c r="F10" s="1">
        <v>58770</v>
      </c>
      <c r="G10" s="1">
        <v>45.9</v>
      </c>
      <c r="H10" s="1">
        <v>62246</v>
      </c>
      <c r="I10" s="1">
        <v>48.6</v>
      </c>
      <c r="J10" s="1">
        <v>63618</v>
      </c>
      <c r="K10" s="1">
        <v>49.9</v>
      </c>
    </row>
    <row r="11" spans="1:15" x14ac:dyDescent="0.3">
      <c r="A11" s="1" t="s">
        <v>11</v>
      </c>
      <c r="B11" s="1" t="s">
        <v>12</v>
      </c>
      <c r="C11" s="1" t="s">
        <v>12</v>
      </c>
      <c r="D11" s="1">
        <v>11061</v>
      </c>
      <c r="E11" s="1">
        <v>27.1</v>
      </c>
      <c r="F11" s="1">
        <v>9462</v>
      </c>
      <c r="G11" s="1">
        <v>7.4</v>
      </c>
      <c r="H11" s="1">
        <v>7062</v>
      </c>
      <c r="I11" s="1">
        <v>16.7</v>
      </c>
      <c r="J11" s="1" t="s">
        <v>12</v>
      </c>
      <c r="K11" s="1" t="s">
        <v>12</v>
      </c>
    </row>
    <row r="12" spans="1:15" x14ac:dyDescent="0.3">
      <c r="A12" s="1" t="s">
        <v>13</v>
      </c>
      <c r="B12" s="1">
        <v>49622</v>
      </c>
      <c r="C12" s="1">
        <v>50.2</v>
      </c>
      <c r="D12" s="1">
        <v>52011</v>
      </c>
      <c r="E12" s="1">
        <v>52.5</v>
      </c>
      <c r="F12" s="1">
        <v>41768</v>
      </c>
      <c r="G12" s="1">
        <v>42.1</v>
      </c>
      <c r="H12" s="1">
        <v>46225</v>
      </c>
      <c r="I12" s="1">
        <v>46.5</v>
      </c>
      <c r="J12" s="1">
        <v>51201</v>
      </c>
      <c r="K12" s="1">
        <v>51.9</v>
      </c>
    </row>
    <row r="13" spans="1:15" x14ac:dyDescent="0.3">
      <c r="A13" s="1" t="s">
        <v>14</v>
      </c>
      <c r="B13" s="1">
        <v>26728</v>
      </c>
      <c r="C13" s="1">
        <v>56</v>
      </c>
      <c r="D13" s="1">
        <v>24690</v>
      </c>
      <c r="E13" s="1">
        <v>51</v>
      </c>
      <c r="F13" s="1">
        <v>28447</v>
      </c>
      <c r="G13" s="1">
        <v>58</v>
      </c>
      <c r="H13" s="1">
        <v>24381</v>
      </c>
      <c r="I13" s="1">
        <v>49.1</v>
      </c>
      <c r="J13" s="1">
        <v>27267</v>
      </c>
      <c r="K13" s="1">
        <v>57.8</v>
      </c>
    </row>
    <row r="14" spans="1:15" x14ac:dyDescent="0.3">
      <c r="A14" s="1" t="s">
        <v>15</v>
      </c>
      <c r="B14" s="1">
        <v>60422</v>
      </c>
      <c r="C14" s="1">
        <v>60.3</v>
      </c>
      <c r="D14" s="1">
        <v>63499</v>
      </c>
      <c r="E14" s="1">
        <v>62.7</v>
      </c>
      <c r="F14" s="1">
        <v>47938</v>
      </c>
      <c r="G14" s="1">
        <v>46.8</v>
      </c>
      <c r="H14" s="1">
        <v>58662</v>
      </c>
      <c r="I14" s="1">
        <v>56.6</v>
      </c>
      <c r="J14" s="1">
        <v>59406</v>
      </c>
      <c r="K14" s="1">
        <v>60</v>
      </c>
    </row>
    <row r="15" spans="1:15" x14ac:dyDescent="0.3">
      <c r="A15" s="1" t="s">
        <v>16</v>
      </c>
      <c r="B15" s="1">
        <v>15756</v>
      </c>
      <c r="C15" s="1">
        <v>44.2</v>
      </c>
      <c r="D15" s="1">
        <v>17217</v>
      </c>
      <c r="E15" s="1">
        <v>47.5</v>
      </c>
      <c r="F15" s="1">
        <v>12769</v>
      </c>
      <c r="G15" s="1">
        <v>34.6</v>
      </c>
      <c r="H15" s="1">
        <v>14804</v>
      </c>
      <c r="I15" s="1">
        <v>39.5</v>
      </c>
      <c r="J15" s="1">
        <v>14022</v>
      </c>
      <c r="K15" s="1">
        <v>40</v>
      </c>
    </row>
    <row r="16" spans="1:15" x14ac:dyDescent="0.3">
      <c r="A16" s="1" t="s">
        <v>17</v>
      </c>
      <c r="B16" s="1">
        <v>62519</v>
      </c>
      <c r="C16" s="1">
        <v>45.3</v>
      </c>
      <c r="D16" s="1">
        <v>89928</v>
      </c>
      <c r="E16" s="1">
        <v>64.599999999999994</v>
      </c>
      <c r="F16" s="1">
        <v>64941</v>
      </c>
      <c r="G16" s="1">
        <v>46.2</v>
      </c>
      <c r="H16" s="1">
        <v>66633</v>
      </c>
      <c r="I16" s="1">
        <v>47.1</v>
      </c>
      <c r="J16" s="1">
        <v>57745</v>
      </c>
      <c r="K16" s="1">
        <v>42.2</v>
      </c>
    </row>
    <row r="17" spans="1:11" x14ac:dyDescent="0.3">
      <c r="A17" s="1" t="s">
        <v>18</v>
      </c>
      <c r="B17" s="1">
        <v>57023</v>
      </c>
      <c r="C17" s="1">
        <v>55.4</v>
      </c>
      <c r="D17" s="1">
        <v>60929</v>
      </c>
      <c r="E17" s="1">
        <v>58.5</v>
      </c>
      <c r="F17" s="1">
        <v>61401</v>
      </c>
      <c r="G17" s="1">
        <v>58.3</v>
      </c>
      <c r="H17" s="1">
        <v>58168</v>
      </c>
      <c r="I17" s="1">
        <v>54.6</v>
      </c>
      <c r="J17" s="1">
        <v>63477</v>
      </c>
      <c r="K17" s="1">
        <v>62.4</v>
      </c>
    </row>
    <row r="18" spans="1:11" x14ac:dyDescent="0.3">
      <c r="A18" s="1" t="s">
        <v>19</v>
      </c>
      <c r="B18" s="1">
        <v>15224</v>
      </c>
      <c r="C18" s="1">
        <v>30.4</v>
      </c>
      <c r="D18" s="1">
        <v>11495</v>
      </c>
      <c r="E18" s="1">
        <v>22.8</v>
      </c>
      <c r="F18" s="1">
        <v>11003</v>
      </c>
      <c r="G18" s="1">
        <v>21.6</v>
      </c>
      <c r="H18" s="1">
        <v>13690</v>
      </c>
      <c r="I18" s="1">
        <v>26.6</v>
      </c>
      <c r="J18" s="1">
        <v>12742</v>
      </c>
      <c r="K18" s="1">
        <v>25.7</v>
      </c>
    </row>
    <row r="19" spans="1:11" x14ac:dyDescent="0.3">
      <c r="A19" s="1" t="s">
        <v>20</v>
      </c>
      <c r="B19" s="1">
        <v>64332</v>
      </c>
      <c r="C19" s="1">
        <v>37.6</v>
      </c>
      <c r="D19" s="1">
        <v>69524</v>
      </c>
      <c r="E19" s="1">
        <v>40</v>
      </c>
      <c r="F19" s="1">
        <v>60756</v>
      </c>
      <c r="G19" s="1">
        <v>34.5</v>
      </c>
      <c r="H19" s="1">
        <v>65973</v>
      </c>
      <c r="I19" s="1">
        <v>36.9</v>
      </c>
      <c r="J19" s="1">
        <v>61133</v>
      </c>
      <c r="K19" s="1">
        <v>36.299999999999997</v>
      </c>
    </row>
    <row r="20" spans="1:11" x14ac:dyDescent="0.3">
      <c r="A20" s="1" t="s">
        <v>21</v>
      </c>
      <c r="B20" s="1">
        <v>157577</v>
      </c>
      <c r="C20" s="1">
        <v>58.8</v>
      </c>
      <c r="D20" s="1">
        <v>163478</v>
      </c>
      <c r="E20" s="1">
        <v>60.1</v>
      </c>
      <c r="F20" s="1">
        <v>149989</v>
      </c>
      <c r="G20" s="1">
        <v>54.3</v>
      </c>
      <c r="H20" s="1">
        <v>168316</v>
      </c>
      <c r="I20" s="1">
        <v>60</v>
      </c>
      <c r="J20" s="1">
        <v>125730</v>
      </c>
      <c r="K20" s="1">
        <v>47.6</v>
      </c>
    </row>
    <row r="21" spans="1:11" x14ac:dyDescent="0.3">
      <c r="A21" s="1" t="s">
        <v>22</v>
      </c>
      <c r="B21" s="1">
        <v>1542</v>
      </c>
      <c r="C21" s="1">
        <v>37.200000000000003</v>
      </c>
      <c r="D21" s="1">
        <v>1314</v>
      </c>
      <c r="E21" s="1">
        <v>31.2</v>
      </c>
      <c r="F21" s="1">
        <v>1609</v>
      </c>
      <c r="G21" s="1">
        <v>37.6</v>
      </c>
      <c r="H21" s="1">
        <v>2263</v>
      </c>
      <c r="I21" s="1">
        <v>52.1</v>
      </c>
      <c r="J21" s="1">
        <v>1701</v>
      </c>
      <c r="K21" s="1">
        <v>41.7</v>
      </c>
    </row>
    <row r="22" spans="1:11" x14ac:dyDescent="0.3">
      <c r="A22" s="1" t="s">
        <v>23</v>
      </c>
      <c r="B22" s="1">
        <v>4217</v>
      </c>
      <c r="C22" s="1">
        <v>38</v>
      </c>
      <c r="D22" s="1">
        <v>4421</v>
      </c>
      <c r="E22" s="1">
        <v>39.299999999999997</v>
      </c>
      <c r="F22" s="1">
        <v>3882</v>
      </c>
      <c r="G22" s="1">
        <v>34</v>
      </c>
      <c r="H22" s="1">
        <v>4379</v>
      </c>
      <c r="I22" s="1">
        <v>37.799999999999997</v>
      </c>
      <c r="J22" s="1">
        <v>3928</v>
      </c>
      <c r="K22" s="1">
        <v>35.9</v>
      </c>
    </row>
    <row r="23" spans="1:11" x14ac:dyDescent="0.3">
      <c r="A23" s="1" t="s">
        <v>24</v>
      </c>
      <c r="B23" s="1">
        <v>62716</v>
      </c>
      <c r="C23" s="1">
        <v>54.3</v>
      </c>
      <c r="D23" s="1">
        <v>63885</v>
      </c>
      <c r="E23" s="1">
        <v>54.7</v>
      </c>
      <c r="F23" s="1">
        <v>64491</v>
      </c>
      <c r="G23" s="1">
        <v>54.5</v>
      </c>
      <c r="H23" s="1">
        <v>65150</v>
      </c>
      <c r="I23" s="1">
        <v>54.4</v>
      </c>
      <c r="J23" s="1">
        <v>57599</v>
      </c>
      <c r="K23" s="1">
        <v>50.5</v>
      </c>
    </row>
    <row r="24" spans="1:11" x14ac:dyDescent="0.3">
      <c r="A24" s="1" t="s">
        <v>25</v>
      </c>
      <c r="B24" s="1">
        <v>63338</v>
      </c>
      <c r="C24" s="1">
        <v>66.099999999999994</v>
      </c>
      <c r="D24" s="1">
        <v>64958</v>
      </c>
      <c r="E24" s="1">
        <v>65.900000000000006</v>
      </c>
      <c r="F24" s="1">
        <v>60596</v>
      </c>
      <c r="G24" s="1">
        <v>59.8</v>
      </c>
      <c r="H24" s="1">
        <v>66573</v>
      </c>
      <c r="I24" s="1">
        <v>64</v>
      </c>
      <c r="J24" s="1">
        <v>44761</v>
      </c>
      <c r="K24" s="1">
        <v>48.1</v>
      </c>
    </row>
    <row r="25" spans="1:11" x14ac:dyDescent="0.3">
      <c r="A25" s="1" t="s">
        <v>26</v>
      </c>
      <c r="B25" s="1">
        <v>49788</v>
      </c>
      <c r="C25" s="1">
        <v>64.2</v>
      </c>
      <c r="D25" s="1">
        <v>51962</v>
      </c>
      <c r="E25" s="1">
        <v>66.5</v>
      </c>
      <c r="F25" s="1">
        <v>50508</v>
      </c>
      <c r="G25" s="1">
        <v>64.3</v>
      </c>
      <c r="H25" s="1">
        <v>50690</v>
      </c>
      <c r="I25" s="1">
        <v>64.099999999999994</v>
      </c>
      <c r="J25" s="1">
        <v>37811</v>
      </c>
      <c r="K25" s="1">
        <v>49</v>
      </c>
    </row>
    <row r="26" spans="1:11" x14ac:dyDescent="0.3">
      <c r="A26" s="1" t="s">
        <v>27</v>
      </c>
      <c r="B26" s="1">
        <v>66025</v>
      </c>
      <c r="C26" s="1">
        <v>68.7</v>
      </c>
      <c r="D26" s="1">
        <v>69745</v>
      </c>
      <c r="E26" s="1">
        <v>71.2</v>
      </c>
      <c r="F26" s="1">
        <v>48902</v>
      </c>
      <c r="G26" s="1">
        <v>49</v>
      </c>
      <c r="H26" s="1">
        <v>57677</v>
      </c>
      <c r="I26" s="1">
        <v>56.7</v>
      </c>
      <c r="J26" s="1">
        <v>67788</v>
      </c>
      <c r="K26" s="1">
        <v>71.900000000000006</v>
      </c>
    </row>
    <row r="27" spans="1:11" x14ac:dyDescent="0.3">
      <c r="A27" s="1" t="s">
        <v>28</v>
      </c>
      <c r="B27" s="1">
        <v>114816</v>
      </c>
      <c r="C27" s="1">
        <v>65.8</v>
      </c>
      <c r="D27" s="1">
        <v>101891</v>
      </c>
      <c r="E27" s="1">
        <v>57.7</v>
      </c>
      <c r="F27" s="1">
        <v>94697</v>
      </c>
      <c r="G27" s="1">
        <v>53</v>
      </c>
      <c r="H27" s="1">
        <v>106575</v>
      </c>
      <c r="I27" s="1">
        <v>58.9</v>
      </c>
      <c r="J27" s="1">
        <v>100949</v>
      </c>
      <c r="K27" s="1">
        <v>58.6</v>
      </c>
    </row>
    <row r="28" spans="1:11" x14ac:dyDescent="0.3">
      <c r="A28" s="1" t="s">
        <v>29</v>
      </c>
      <c r="B28" s="1">
        <v>74535</v>
      </c>
      <c r="C28" s="1">
        <v>55</v>
      </c>
      <c r="D28" s="1">
        <v>72921</v>
      </c>
      <c r="E28" s="1">
        <v>53.3</v>
      </c>
      <c r="F28" s="1">
        <v>75223</v>
      </c>
      <c r="G28" s="1">
        <v>54.5</v>
      </c>
      <c r="H28" s="1">
        <v>88997</v>
      </c>
      <c r="I28" s="1">
        <v>64</v>
      </c>
      <c r="J28" s="1">
        <v>68270</v>
      </c>
      <c r="K28" s="1">
        <v>50.8</v>
      </c>
    </row>
    <row r="29" spans="1:11" x14ac:dyDescent="0.3">
      <c r="A29" s="1" t="s">
        <v>30</v>
      </c>
      <c r="B29" s="1">
        <v>18172</v>
      </c>
      <c r="C29" s="1">
        <v>52.6</v>
      </c>
      <c r="D29" s="1">
        <v>17080</v>
      </c>
      <c r="E29" s="1">
        <v>48.9</v>
      </c>
      <c r="F29" s="1">
        <v>16583</v>
      </c>
      <c r="G29" s="1">
        <v>46.8</v>
      </c>
      <c r="H29" s="1">
        <v>18184</v>
      </c>
      <c r="I29" s="1">
        <v>50.7</v>
      </c>
      <c r="J29" s="1">
        <v>14376</v>
      </c>
      <c r="K29" s="1">
        <v>42.2</v>
      </c>
    </row>
    <row r="30" spans="1:11" x14ac:dyDescent="0.3">
      <c r="A30" s="1" t="s">
        <v>31</v>
      </c>
      <c r="B30" s="1">
        <v>43939</v>
      </c>
      <c r="C30" s="1">
        <v>77.7</v>
      </c>
      <c r="D30" s="1">
        <v>44864</v>
      </c>
      <c r="E30" s="1">
        <v>78.900000000000006</v>
      </c>
      <c r="F30" s="1">
        <v>40656</v>
      </c>
      <c r="G30" s="1">
        <v>71.099999999999994</v>
      </c>
      <c r="H30" s="1">
        <v>37677</v>
      </c>
      <c r="I30" s="1">
        <v>65.5</v>
      </c>
      <c r="J30" s="1">
        <v>44311</v>
      </c>
      <c r="K30" s="1">
        <v>78.8</v>
      </c>
    </row>
    <row r="31" spans="1:11" x14ac:dyDescent="0.3">
      <c r="A31" s="1" t="s">
        <v>32</v>
      </c>
      <c r="B31" s="1">
        <v>59548</v>
      </c>
      <c r="C31" s="1">
        <v>62.6</v>
      </c>
      <c r="D31" s="1">
        <v>74904</v>
      </c>
      <c r="E31" s="1">
        <v>78.2</v>
      </c>
      <c r="F31" s="1">
        <v>52949</v>
      </c>
      <c r="G31" s="1">
        <v>55</v>
      </c>
      <c r="H31" s="1">
        <v>64211</v>
      </c>
      <c r="I31" s="1">
        <v>66.3</v>
      </c>
      <c r="J31" s="1">
        <v>53027</v>
      </c>
      <c r="K31" s="1">
        <v>56</v>
      </c>
    </row>
    <row r="32" spans="1:11" x14ac:dyDescent="0.3">
      <c r="A32" s="1" t="s">
        <v>33</v>
      </c>
      <c r="B32" s="1">
        <v>4116</v>
      </c>
      <c r="C32" s="1">
        <v>53.8</v>
      </c>
      <c r="D32" s="1">
        <v>4310</v>
      </c>
      <c r="E32" s="1">
        <v>55.9</v>
      </c>
      <c r="F32" s="1">
        <v>4662</v>
      </c>
      <c r="G32" s="1">
        <v>60</v>
      </c>
      <c r="H32" s="1">
        <v>4653</v>
      </c>
      <c r="I32" s="1">
        <v>59.3</v>
      </c>
      <c r="J32" s="1">
        <v>3762</v>
      </c>
      <c r="K32" s="1">
        <v>49.6</v>
      </c>
    </row>
    <row r="33" spans="1:11" x14ac:dyDescent="0.3">
      <c r="A33" s="1" t="s">
        <v>34</v>
      </c>
      <c r="B33" s="1">
        <v>991</v>
      </c>
      <c r="C33" s="1">
        <v>23.6</v>
      </c>
      <c r="D33" s="1">
        <v>12788</v>
      </c>
      <c r="E33" s="1">
        <v>26</v>
      </c>
      <c r="F33" s="1">
        <v>17254</v>
      </c>
      <c r="G33" s="1">
        <v>34.6</v>
      </c>
      <c r="H33" s="1">
        <v>24064</v>
      </c>
      <c r="I33" s="1">
        <v>47.4</v>
      </c>
      <c r="J33" s="1">
        <v>1039</v>
      </c>
      <c r="K33" s="1">
        <v>24.6</v>
      </c>
    </row>
    <row r="34" spans="1:11" x14ac:dyDescent="0.3">
      <c r="A34" s="1" t="s">
        <v>35</v>
      </c>
      <c r="B34" s="1">
        <v>86417</v>
      </c>
      <c r="C34" s="1">
        <v>41.9</v>
      </c>
      <c r="D34" s="1">
        <v>98779</v>
      </c>
      <c r="E34" s="1">
        <v>47.7</v>
      </c>
      <c r="F34" s="1">
        <v>94053</v>
      </c>
      <c r="G34" s="1">
        <v>45.2</v>
      </c>
      <c r="H34" s="1">
        <v>101828</v>
      </c>
      <c r="I34" s="1">
        <v>48.7</v>
      </c>
      <c r="J34" s="1">
        <v>76960</v>
      </c>
      <c r="K34" s="1">
        <v>37.5</v>
      </c>
    </row>
    <row r="35" spans="1:11" x14ac:dyDescent="0.3">
      <c r="A35" s="1" t="s">
        <v>36</v>
      </c>
      <c r="B35" s="1">
        <v>41641</v>
      </c>
      <c r="C35" s="1">
        <v>48.9</v>
      </c>
      <c r="D35" s="1">
        <v>50987</v>
      </c>
      <c r="E35" s="1">
        <v>59.3</v>
      </c>
      <c r="F35" s="1">
        <v>38423</v>
      </c>
      <c r="G35" s="1">
        <v>44.2</v>
      </c>
      <c r="H35" s="1">
        <v>39424</v>
      </c>
      <c r="I35" s="1">
        <v>45</v>
      </c>
      <c r="J35" s="1">
        <v>33171</v>
      </c>
      <c r="K35" s="1">
        <v>39.299999999999997</v>
      </c>
    </row>
    <row r="36" spans="1:11" x14ac:dyDescent="0.3">
      <c r="A36" s="1" t="s">
        <v>37</v>
      </c>
      <c r="B36" s="1">
        <v>80782</v>
      </c>
      <c r="C36" s="1">
        <v>57.4</v>
      </c>
      <c r="D36" s="1">
        <v>73254</v>
      </c>
      <c r="E36" s="1">
        <v>51.9</v>
      </c>
      <c r="F36" s="1">
        <v>91633</v>
      </c>
      <c r="G36" s="1">
        <v>64.7</v>
      </c>
      <c r="H36" s="1">
        <v>93710</v>
      </c>
      <c r="I36" s="1">
        <v>66</v>
      </c>
      <c r="J36" s="1">
        <v>84434</v>
      </c>
      <c r="K36" s="1">
        <v>60.1</v>
      </c>
    </row>
    <row r="37" spans="1:11" x14ac:dyDescent="0.3">
      <c r="A37" s="1" t="s">
        <v>38</v>
      </c>
      <c r="B37" s="1">
        <v>286471</v>
      </c>
      <c r="C37" s="1">
        <v>62.1</v>
      </c>
      <c r="D37" s="1">
        <v>437350</v>
      </c>
      <c r="E37" s="1">
        <v>102.8</v>
      </c>
      <c r="F37" s="1">
        <v>300415</v>
      </c>
      <c r="G37" s="1">
        <v>70</v>
      </c>
      <c r="H37" s="1">
        <v>278677</v>
      </c>
      <c r="I37" s="1">
        <v>64.3</v>
      </c>
      <c r="J37" s="1">
        <v>314576</v>
      </c>
      <c r="K37" s="1">
        <v>68.900000000000006</v>
      </c>
    </row>
    <row r="38" spans="1:11" x14ac:dyDescent="0.3">
      <c r="A38" s="1" t="s">
        <v>39</v>
      </c>
      <c r="B38" s="1">
        <v>991</v>
      </c>
      <c r="C38" s="1">
        <v>22.7</v>
      </c>
      <c r="D38" s="1">
        <v>1462</v>
      </c>
      <c r="E38" s="1">
        <v>33.200000000000003</v>
      </c>
      <c r="F38" s="1">
        <v>1122</v>
      </c>
      <c r="G38" s="1">
        <v>25.2</v>
      </c>
      <c r="H38" s="1">
        <v>1071</v>
      </c>
      <c r="I38" s="1">
        <v>23.8</v>
      </c>
      <c r="J38" s="1">
        <v>1039</v>
      </c>
      <c r="K38" s="1">
        <v>24</v>
      </c>
    </row>
    <row r="39" spans="1:11" x14ac:dyDescent="0.3">
      <c r="A39" s="1" t="s">
        <v>40</v>
      </c>
      <c r="B39" s="1">
        <v>2617</v>
      </c>
      <c r="C39" s="1">
        <v>36.4</v>
      </c>
      <c r="D39" s="1">
        <v>2771</v>
      </c>
      <c r="E39" s="1">
        <v>37.6</v>
      </c>
      <c r="F39" s="1">
        <v>2173</v>
      </c>
      <c r="G39" s="1">
        <v>28.8</v>
      </c>
      <c r="H39" s="1">
        <v>2188</v>
      </c>
      <c r="I39" s="1">
        <v>28.3</v>
      </c>
      <c r="J39" s="1">
        <v>2034</v>
      </c>
      <c r="K39" s="1">
        <v>28.9</v>
      </c>
    </row>
  </sheetData>
  <autoFilter ref="A2:K39" xr:uid="{32A7C278-A811-4F37-9AEE-CD95EC47C7DF}">
    <sortState xmlns:xlrd2="http://schemas.microsoft.com/office/spreadsheetml/2017/richdata2" ref="A4:K39">
      <sortCondition ref="A2:A39"/>
    </sortState>
  </autoFilter>
  <mergeCells count="6">
    <mergeCell ref="J1:K1"/>
    <mergeCell ref="A1:A2"/>
    <mergeCell ref="B1:C1"/>
    <mergeCell ref="D1:E1"/>
    <mergeCell ref="F1:G1"/>
    <mergeCell ref="H1:I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3F9EBE-A296-497E-9461-03646186433A}">
  <dimension ref="A1:O39"/>
  <sheetViews>
    <sheetView workbookViewId="0">
      <pane xSplit="1" topLeftCell="C1" activePane="topRight" state="frozen"/>
      <selection pane="topRight" activeCell="G10" sqref="G10"/>
    </sheetView>
  </sheetViews>
  <sheetFormatPr defaultColWidth="11.44140625" defaultRowHeight="14.4" x14ac:dyDescent="0.3"/>
  <cols>
    <col min="1" max="1" width="23.44140625" bestFit="1" customWidth="1"/>
    <col min="2" max="2" width="26.88671875" bestFit="1" customWidth="1"/>
    <col min="3" max="3" width="28.109375" bestFit="1" customWidth="1"/>
    <col min="4" max="4" width="26.88671875" bestFit="1" customWidth="1"/>
    <col min="5" max="5" width="28.109375" bestFit="1" customWidth="1"/>
    <col min="6" max="6" width="26.88671875" bestFit="1" customWidth="1"/>
    <col min="7" max="7" width="28.109375" bestFit="1" customWidth="1"/>
    <col min="8" max="8" width="26.88671875" bestFit="1" customWidth="1"/>
    <col min="9" max="9" width="28.109375" bestFit="1" customWidth="1"/>
    <col min="10" max="10" width="26.88671875" bestFit="1" customWidth="1"/>
    <col min="11" max="11" width="28.109375" bestFit="1" customWidth="1"/>
    <col min="12" max="12" width="26.88671875" bestFit="1" customWidth="1"/>
    <col min="13" max="13" width="28.109375" bestFit="1" customWidth="1"/>
    <col min="15" max="15" width="24" bestFit="1" customWidth="1"/>
  </cols>
  <sheetData>
    <row r="1" spans="1:15" x14ac:dyDescent="0.3">
      <c r="A1" s="4" t="s">
        <v>0</v>
      </c>
      <c r="B1" s="4">
        <v>2015</v>
      </c>
      <c r="C1" s="4"/>
      <c r="D1" s="4">
        <v>2016</v>
      </c>
      <c r="E1" s="4"/>
      <c r="F1" s="4">
        <v>2017</v>
      </c>
      <c r="G1" s="4"/>
      <c r="H1" s="1">
        <v>2018</v>
      </c>
      <c r="J1" s="4">
        <v>2019</v>
      </c>
      <c r="K1" s="4"/>
      <c r="L1" s="4">
        <v>2020</v>
      </c>
      <c r="M1" s="4"/>
      <c r="O1" s="4" t="s">
        <v>41</v>
      </c>
    </row>
    <row r="2" spans="1:15" x14ac:dyDescent="0.3">
      <c r="A2" s="4"/>
      <c r="B2" t="s">
        <v>1</v>
      </c>
      <c r="C2" t="s">
        <v>2</v>
      </c>
      <c r="D2" t="s">
        <v>1</v>
      </c>
      <c r="E2" t="s">
        <v>2</v>
      </c>
      <c r="F2" t="s">
        <v>1</v>
      </c>
      <c r="G2" t="s">
        <v>2</v>
      </c>
      <c r="H2" t="s">
        <v>2</v>
      </c>
      <c r="J2" t="s">
        <v>1</v>
      </c>
      <c r="K2" t="s">
        <v>2</v>
      </c>
      <c r="L2" t="s">
        <v>1</v>
      </c>
      <c r="M2" t="s">
        <v>2</v>
      </c>
      <c r="O2" s="4"/>
    </row>
    <row r="3" spans="1:15" x14ac:dyDescent="0.3">
      <c r="A3" t="s">
        <v>3</v>
      </c>
      <c r="F3">
        <v>2</v>
      </c>
      <c r="G3">
        <f>(F3/O3)*1000</f>
        <v>2.6113410541983836E-2</v>
      </c>
      <c r="H3">
        <v>0.28610000000000002</v>
      </c>
      <c r="O3">
        <v>76589</v>
      </c>
    </row>
    <row r="4" spans="1:15" x14ac:dyDescent="0.3">
      <c r="A4" t="s">
        <v>4</v>
      </c>
      <c r="F4">
        <v>13</v>
      </c>
      <c r="G4">
        <f t="shared" ref="G4:G39" si="0">(F4/O4)*1000</f>
        <v>2.0289984457871908E-3</v>
      </c>
      <c r="H4">
        <v>2.2200000000000001E-2</v>
      </c>
      <c r="O4">
        <v>6407102</v>
      </c>
    </row>
    <row r="5" spans="1:15" x14ac:dyDescent="0.3">
      <c r="A5" t="s">
        <v>5</v>
      </c>
      <c r="F5">
        <v>2</v>
      </c>
      <c r="G5">
        <f t="shared" si="0"/>
        <v>7.6285215162449366E-3</v>
      </c>
      <c r="H5">
        <f>6.02/100</f>
        <v>6.0199999999999997E-2</v>
      </c>
      <c r="O5">
        <v>262174</v>
      </c>
    </row>
    <row r="6" spans="1:15" x14ac:dyDescent="0.3">
      <c r="A6" t="s">
        <v>6</v>
      </c>
      <c r="F6">
        <v>2</v>
      </c>
      <c r="G6">
        <f t="shared" si="0"/>
        <v>7.8879376474304849E-4</v>
      </c>
      <c r="H6">
        <f>0.48/100</f>
        <v>4.7999999999999996E-3</v>
      </c>
      <c r="O6">
        <v>2535517</v>
      </c>
    </row>
    <row r="7" spans="1:15" x14ac:dyDescent="0.3">
      <c r="A7" t="s">
        <v>7</v>
      </c>
      <c r="F7">
        <v>1</v>
      </c>
      <c r="H7">
        <f>2.13/100</f>
        <v>2.1299999999999999E-2</v>
      </c>
    </row>
    <row r="8" spans="1:15" x14ac:dyDescent="0.3">
      <c r="A8" t="s">
        <v>8</v>
      </c>
      <c r="F8">
        <v>3</v>
      </c>
      <c r="G8">
        <f t="shared" si="0"/>
        <v>4.0471815023299627E-4</v>
      </c>
      <c r="H8">
        <v>0</v>
      </c>
      <c r="O8">
        <v>7412566</v>
      </c>
    </row>
    <row r="9" spans="1:15" x14ac:dyDescent="0.3">
      <c r="A9" t="s">
        <v>9</v>
      </c>
      <c r="F9">
        <v>2</v>
      </c>
      <c r="G9">
        <f>((F9+F14)/O9)*1000</f>
        <v>1.4491983517784079E-3</v>
      </c>
      <c r="H9">
        <v>0</v>
      </c>
      <c r="O9">
        <v>2070110</v>
      </c>
    </row>
    <row r="10" spans="1:15" x14ac:dyDescent="0.3">
      <c r="A10" t="s">
        <v>10</v>
      </c>
      <c r="F10">
        <v>0</v>
      </c>
      <c r="G10">
        <f t="shared" si="0"/>
        <v>0</v>
      </c>
      <c r="H10">
        <f>0.95/100</f>
        <v>9.4999999999999998E-3</v>
      </c>
      <c r="O10">
        <v>1217376</v>
      </c>
    </row>
    <row r="11" spans="1:15" x14ac:dyDescent="0.3">
      <c r="A11" t="s">
        <v>11</v>
      </c>
      <c r="F11">
        <v>0</v>
      </c>
      <c r="H11">
        <v>0</v>
      </c>
    </row>
    <row r="12" spans="1:15" x14ac:dyDescent="0.3">
      <c r="A12" t="s">
        <v>13</v>
      </c>
      <c r="F12">
        <v>0</v>
      </c>
      <c r="G12">
        <f t="shared" si="0"/>
        <v>0</v>
      </c>
      <c r="H12">
        <f>1.29/100</f>
        <v>1.29E-2</v>
      </c>
      <c r="O12">
        <v>998255</v>
      </c>
    </row>
    <row r="13" spans="1:15" x14ac:dyDescent="0.3">
      <c r="A13" t="s">
        <v>14</v>
      </c>
      <c r="F13">
        <v>0</v>
      </c>
      <c r="G13">
        <f t="shared" si="0"/>
        <v>0</v>
      </c>
      <c r="H13">
        <f>1.82/100</f>
        <v>1.8200000000000001E-2</v>
      </c>
      <c r="O13">
        <v>420504</v>
      </c>
    </row>
    <row r="14" spans="1:15" x14ac:dyDescent="0.3">
      <c r="A14" t="s">
        <v>15</v>
      </c>
      <c r="F14">
        <v>1</v>
      </c>
      <c r="H14">
        <v>0</v>
      </c>
    </row>
    <row r="15" spans="1:15" x14ac:dyDescent="0.3">
      <c r="A15" t="s">
        <v>16</v>
      </c>
      <c r="F15">
        <v>1</v>
      </c>
      <c r="G15">
        <f t="shared" si="0"/>
        <v>2.4884969229735546E-3</v>
      </c>
      <c r="H15">
        <v>0</v>
      </c>
      <c r="O15">
        <v>401849</v>
      </c>
    </row>
    <row r="16" spans="1:15" x14ac:dyDescent="0.3">
      <c r="A16" t="s">
        <v>17</v>
      </c>
      <c r="F16">
        <v>4</v>
      </c>
      <c r="G16">
        <f t="shared" si="0"/>
        <v>2.7313299938271939E-3</v>
      </c>
      <c r="H16">
        <f>6.63/100</f>
        <v>6.6299999999999998E-2</v>
      </c>
      <c r="O16">
        <v>1464488</v>
      </c>
    </row>
    <row r="17" spans="1:15" x14ac:dyDescent="0.3">
      <c r="A17" t="s">
        <v>18</v>
      </c>
      <c r="F17">
        <v>3</v>
      </c>
      <c r="G17">
        <f t="shared" si="0"/>
        <v>2.4988047384001317E-3</v>
      </c>
      <c r="H17">
        <f>9.92/100</f>
        <v>9.9199999999999997E-2</v>
      </c>
      <c r="O17">
        <v>1200574</v>
      </c>
    </row>
    <row r="18" spans="1:15" x14ac:dyDescent="0.3">
      <c r="A18" t="s">
        <v>19</v>
      </c>
      <c r="F18">
        <v>26</v>
      </c>
      <c r="G18">
        <f t="shared" si="0"/>
        <v>4.8613941730581534E-2</v>
      </c>
      <c r="H18">
        <f>50.66/100</f>
        <v>0.50659999999999994</v>
      </c>
      <c r="O18">
        <v>534826</v>
      </c>
    </row>
    <row r="19" spans="1:15" x14ac:dyDescent="0.3">
      <c r="A19" t="s">
        <v>20</v>
      </c>
      <c r="F19">
        <v>1</v>
      </c>
      <c r="G19">
        <f t="shared" si="0"/>
        <v>5.6029220359001626E-4</v>
      </c>
      <c r="H19">
        <f>1.08/100</f>
        <v>1.0800000000000001E-2</v>
      </c>
      <c r="O19">
        <v>1784783</v>
      </c>
    </row>
    <row r="20" spans="1:15" x14ac:dyDescent="0.3">
      <c r="A20" t="s">
        <v>21</v>
      </c>
      <c r="F20">
        <v>1</v>
      </c>
      <c r="G20">
        <f t="shared" si="0"/>
        <v>3.4257603475091296E-4</v>
      </c>
      <c r="H20">
        <f>0.4/100</f>
        <v>4.0000000000000001E-3</v>
      </c>
      <c r="O20">
        <v>2919060</v>
      </c>
    </row>
    <row r="21" spans="1:15" x14ac:dyDescent="0.3">
      <c r="A21" t="s">
        <v>22</v>
      </c>
      <c r="F21">
        <v>0</v>
      </c>
      <c r="G21">
        <f t="shared" si="0"/>
        <v>0</v>
      </c>
      <c r="H21">
        <f>18.7/100</f>
        <v>0.187</v>
      </c>
      <c r="O21">
        <v>48114</v>
      </c>
    </row>
    <row r="22" spans="1:15" x14ac:dyDescent="0.3">
      <c r="A22" t="s">
        <v>23</v>
      </c>
      <c r="F22">
        <v>0</v>
      </c>
      <c r="G22">
        <f t="shared" si="0"/>
        <v>0</v>
      </c>
      <c r="H22">
        <v>0</v>
      </c>
      <c r="O22">
        <v>82767</v>
      </c>
    </row>
    <row r="23" spans="1:15" x14ac:dyDescent="0.3">
      <c r="A23" t="s">
        <v>24</v>
      </c>
      <c r="F23">
        <v>0</v>
      </c>
      <c r="G23">
        <f t="shared" si="0"/>
        <v>0</v>
      </c>
      <c r="H23">
        <f>2.6/100</f>
        <v>2.6000000000000002E-2</v>
      </c>
      <c r="O23">
        <v>1100386</v>
      </c>
    </row>
    <row r="24" spans="1:15" x14ac:dyDescent="0.3">
      <c r="A24" t="s">
        <v>25</v>
      </c>
      <c r="F24">
        <v>19</v>
      </c>
      <c r="G24">
        <f t="shared" si="0"/>
        <v>2.1577178159353137E-2</v>
      </c>
      <c r="H24">
        <f>18.05/100</f>
        <v>0.18049999999999999</v>
      </c>
      <c r="O24">
        <v>880560</v>
      </c>
    </row>
    <row r="25" spans="1:15" x14ac:dyDescent="0.3">
      <c r="A25" t="s">
        <v>26</v>
      </c>
      <c r="F25">
        <v>4</v>
      </c>
      <c r="G25">
        <f>((F25+F33)/O25)*1000</f>
        <v>4.4717852708336748E-3</v>
      </c>
      <c r="H25">
        <f>2.16/100</f>
        <v>2.1600000000000001E-2</v>
      </c>
      <c r="O25">
        <v>1341746</v>
      </c>
    </row>
    <row r="26" spans="1:15" x14ac:dyDescent="0.3">
      <c r="A26" t="s">
        <v>27</v>
      </c>
      <c r="F26">
        <v>4</v>
      </c>
      <c r="G26">
        <f t="shared" si="0"/>
        <v>3.8471822275569821E-3</v>
      </c>
      <c r="H26">
        <f>1.04/100</f>
        <v>1.04E-2</v>
      </c>
      <c r="O26">
        <v>1039722</v>
      </c>
    </row>
    <row r="27" spans="1:15" x14ac:dyDescent="0.3">
      <c r="A27" t="s">
        <v>28</v>
      </c>
      <c r="F27">
        <v>4</v>
      </c>
      <c r="G27">
        <f t="shared" si="0"/>
        <v>2.4530967893869222E-3</v>
      </c>
      <c r="H27">
        <f>1.2/100</f>
        <v>1.2E-2</v>
      </c>
      <c r="O27">
        <v>1630592</v>
      </c>
    </row>
    <row r="28" spans="1:15" x14ac:dyDescent="0.3">
      <c r="A28" t="s">
        <v>29</v>
      </c>
      <c r="F28">
        <v>6</v>
      </c>
      <c r="G28">
        <f t="shared" si="0"/>
        <v>4.0222861467772439E-3</v>
      </c>
      <c r="H28">
        <f>0.79/100</f>
        <v>7.9000000000000008E-3</v>
      </c>
      <c r="O28">
        <v>1491689</v>
      </c>
    </row>
    <row r="29" spans="1:15" x14ac:dyDescent="0.3">
      <c r="A29" t="s">
        <v>30</v>
      </c>
      <c r="F29">
        <v>2</v>
      </c>
      <c r="G29">
        <f t="shared" si="0"/>
        <v>5.7441223268290724E-3</v>
      </c>
      <c r="H29">
        <f>4.97/100</f>
        <v>4.9699999999999994E-2</v>
      </c>
      <c r="O29">
        <v>348182</v>
      </c>
    </row>
    <row r="30" spans="1:15" x14ac:dyDescent="0.3">
      <c r="A30" t="s">
        <v>31</v>
      </c>
      <c r="F30">
        <v>0</v>
      </c>
      <c r="G30">
        <f t="shared" si="0"/>
        <v>0</v>
      </c>
      <c r="H30">
        <f>2.18/100</f>
        <v>2.18E-2</v>
      </c>
      <c r="O30">
        <v>539904</v>
      </c>
    </row>
    <row r="31" spans="1:15" x14ac:dyDescent="0.3">
      <c r="A31" t="s">
        <v>32</v>
      </c>
      <c r="F31">
        <v>7</v>
      </c>
      <c r="G31">
        <f t="shared" si="0"/>
        <v>7.4199624549899776E-3</v>
      </c>
      <c r="H31">
        <f>9.27/100</f>
        <v>9.2699999999999991E-2</v>
      </c>
      <c r="O31">
        <v>943401</v>
      </c>
    </row>
    <row r="32" spans="1:15" x14ac:dyDescent="0.3">
      <c r="A32" t="s">
        <v>33</v>
      </c>
      <c r="F32">
        <v>0</v>
      </c>
      <c r="G32">
        <f t="shared" si="0"/>
        <v>0</v>
      </c>
      <c r="H32">
        <v>0</v>
      </c>
      <c r="O32">
        <v>61280</v>
      </c>
    </row>
    <row r="33" spans="1:15" x14ac:dyDescent="0.3">
      <c r="A33" t="s">
        <v>34</v>
      </c>
      <c r="F33">
        <v>2</v>
      </c>
      <c r="H33">
        <f>2.13/100</f>
        <v>2.1299999999999999E-2</v>
      </c>
    </row>
    <row r="34" spans="1:15" x14ac:dyDescent="0.3">
      <c r="A34" t="s">
        <v>35</v>
      </c>
      <c r="F34">
        <v>0</v>
      </c>
      <c r="G34">
        <f t="shared" si="0"/>
        <v>0</v>
      </c>
      <c r="H34">
        <f>0.61/100</f>
        <v>6.0999999999999995E-3</v>
      </c>
      <c r="O34">
        <v>2184837</v>
      </c>
    </row>
    <row r="35" spans="1:15" x14ac:dyDescent="0.3">
      <c r="A35" t="s">
        <v>36</v>
      </c>
      <c r="F35">
        <v>2</v>
      </c>
      <c r="G35">
        <f t="shared" si="0"/>
        <v>2.2102793461551639E-3</v>
      </c>
      <c r="H35">
        <f>1.18/100</f>
        <v>1.18E-2</v>
      </c>
      <c r="O35">
        <v>904863</v>
      </c>
    </row>
    <row r="36" spans="1:15" x14ac:dyDescent="0.3">
      <c r="A36" t="s">
        <v>37</v>
      </c>
      <c r="F36">
        <v>3</v>
      </c>
      <c r="G36">
        <f t="shared" si="0"/>
        <v>2.2553219960802506E-3</v>
      </c>
      <c r="H36">
        <f>2.38/100</f>
        <v>2.3799999999999998E-2</v>
      </c>
      <c r="O36">
        <v>1330187</v>
      </c>
    </row>
    <row r="37" spans="1:15" x14ac:dyDescent="0.3">
      <c r="A37" t="s">
        <v>38</v>
      </c>
      <c r="F37">
        <v>6</v>
      </c>
      <c r="G37">
        <f t="shared" si="0"/>
        <v>1.3405167155731848E-3</v>
      </c>
      <c r="H37">
        <f>2.18/100</f>
        <v>2.18E-2</v>
      </c>
      <c r="O37">
        <v>4475886</v>
      </c>
    </row>
    <row r="38" spans="1:15" x14ac:dyDescent="0.3">
      <c r="A38" t="s">
        <v>39</v>
      </c>
      <c r="F38">
        <v>0</v>
      </c>
      <c r="G38">
        <f t="shared" si="0"/>
        <v>0</v>
      </c>
      <c r="H38">
        <f>66.62/100</f>
        <v>0.66620000000000001</v>
      </c>
      <c r="O38">
        <v>40797</v>
      </c>
    </row>
    <row r="39" spans="1:15" x14ac:dyDescent="0.3">
      <c r="A39" t="s">
        <v>40</v>
      </c>
      <c r="F39">
        <v>7</v>
      </c>
      <c r="G39">
        <f t="shared" si="0"/>
        <v>6.4930246363906208E-2</v>
      </c>
      <c r="H39">
        <f>28.48/100</f>
        <v>0.2848</v>
      </c>
      <c r="O39">
        <v>107808</v>
      </c>
    </row>
  </sheetData>
  <autoFilter ref="A1:H39" xr:uid="{893F9EBE-A296-497E-9461-03646186433A}">
    <filterColumn colId="1" showButton="0"/>
    <filterColumn colId="3" showButton="0"/>
    <filterColumn colId="5" showButton="0"/>
    <sortState xmlns:xlrd2="http://schemas.microsoft.com/office/spreadsheetml/2017/richdata2" ref="A4:H39">
      <sortCondition ref="A1:A39"/>
    </sortState>
  </autoFilter>
  <mergeCells count="7">
    <mergeCell ref="L1:M1"/>
    <mergeCell ref="A1:A2"/>
    <mergeCell ref="O1:O2"/>
    <mergeCell ref="B1:C1"/>
    <mergeCell ref="D1:E1"/>
    <mergeCell ref="F1:G1"/>
    <mergeCell ref="J1:K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33E01-16AC-463D-9293-170F0B479846}">
  <dimension ref="A1:I34"/>
  <sheetViews>
    <sheetView tabSelected="1" topLeftCell="A21" workbookViewId="0">
      <selection activeCell="C35" sqref="C35"/>
    </sheetView>
  </sheetViews>
  <sheetFormatPr defaultColWidth="11.44140625" defaultRowHeight="14.4" x14ac:dyDescent="0.3"/>
  <cols>
    <col min="4" max="5" width="11.33203125" customWidth="1"/>
  </cols>
  <sheetData>
    <row r="1" spans="1:9" x14ac:dyDescent="0.3">
      <c r="A1" t="s">
        <v>45</v>
      </c>
      <c r="B1">
        <v>2014</v>
      </c>
      <c r="C1">
        <v>2018</v>
      </c>
      <c r="D1">
        <v>2015</v>
      </c>
      <c r="F1">
        <v>2016</v>
      </c>
      <c r="G1">
        <v>2017</v>
      </c>
      <c r="H1">
        <v>2018</v>
      </c>
    </row>
    <row r="2" spans="1:9" x14ac:dyDescent="0.3">
      <c r="A2" t="s">
        <v>3</v>
      </c>
      <c r="B2">
        <f>AVERAGE(6.2,7.8,7,6.6,6.4,5,0,1.7,2.1,8,9.9)</f>
        <v>5.5181818181818185</v>
      </c>
      <c r="C2">
        <f>AVERAGE(4,3.6,5.3,3.6,4.7,4.1,2.8,2.9,4.2,5.7,4.6,3.7)</f>
        <v>4.1000000000000005</v>
      </c>
      <c r="D2">
        <f>AVERAGE(7,8.3,6.3,6.1,7.8,6.5,3.9,5.9,3.3,4.9,4.9,1.2)</f>
        <v>5.5083333333333329</v>
      </c>
      <c r="F2">
        <f>AVERAGE(2.9,1.9,3.5,5,3,5.3,8.6,7.2,4.4,6.1,7.7,4.2)</f>
        <v>4.9833333333333343</v>
      </c>
      <c r="G2">
        <f>AVERAGE(2.1,3.6,1.7,4.4,4.5,4.2,2.6,6.3,3.5,3.9,4.1,1.6)</f>
        <v>3.5416666666666674</v>
      </c>
      <c r="H2">
        <f>AVERAGE(4,3.6,5.3,3.6,4.7,4.1,2.8,2.9,4.2,5.7,4.6,3.7)</f>
        <v>4.1000000000000005</v>
      </c>
      <c r="I2" t="s">
        <v>3</v>
      </c>
    </row>
    <row r="3" spans="1:9" x14ac:dyDescent="0.3">
      <c r="A3" t="s">
        <v>4</v>
      </c>
      <c r="B3">
        <f>AVERAGE(6.2,7.8,7,6.6,6.4,5,0,1.7,2.1,2.1,8,9.9)</f>
        <v>5.2333333333333334</v>
      </c>
      <c r="C3">
        <f>AVERAGE(4,3.6,5.3,3.6,4.7,4.1,2.8,2.9,4.2,5.7,4.6,3.7)</f>
        <v>4.1000000000000005</v>
      </c>
      <c r="D3">
        <f>AVERAGE(7,8.3,6.3,6.1,7.8,6.5,3.9,5.9,3.3,4.9,4.9,1.2)</f>
        <v>5.5083333333333329</v>
      </c>
      <c r="F3">
        <f>AVERAGE(2.9,1.9,3.5,5,3,5.3,8.6,7.2,4.4,6.1,7.7,4.2)</f>
        <v>4.9833333333333343</v>
      </c>
      <c r="G3">
        <f>AVERAGE(2.1,3.6,1.7,4.4,4.5,4.2,2.6,6.3,3.5,3.9,4.1,1.6)</f>
        <v>3.5416666666666674</v>
      </c>
      <c r="H3">
        <f>AVERAGE(4,3.6,5.3,3.6,4.7,4.1,2.8,2.9,4.2,5.7,4.6,3.7)</f>
        <v>4.1000000000000005</v>
      </c>
    </row>
    <row r="4" spans="1:9" x14ac:dyDescent="0.3">
      <c r="A4" t="s">
        <v>5</v>
      </c>
      <c r="B4">
        <f>AVERAGE(2.9,0.3,0,0,0.7,2.9,2.1,1.8,0,5,3.5)</f>
        <v>1.7454545454545454</v>
      </c>
      <c r="C4">
        <f>AVERAGE(0,0.3,4.8,1.3,5.5,2.1,0.6,7.1,1.5,0.7,10.1)</f>
        <v>3.0909090909090904</v>
      </c>
      <c r="D4">
        <f>AVERAGE(2.4,2.1,0.6,0.3,0.7,3.4,3.5,6.9,4.1,0.7,1.4,1.8)</f>
        <v>2.3249999999999997</v>
      </c>
      <c r="F4">
        <f>AVERAGE(2.3,0.8,0.1,2.5,2.4,0,0.1,1.9,0,3.2,0,1.4)</f>
        <v>1.2250000000000001</v>
      </c>
      <c r="G4">
        <f>AVERAGE(0,0.9,1,1.4,2.7,1.7,0.5,1,1,0.7,0.5,0.7)</f>
        <v>1.0083333333333331</v>
      </c>
      <c r="H4">
        <f>AVERAGE(0,0.3,4.8,1.3,5.5,2.1,0.6,7.1,1.5,0.7,10.1)</f>
        <v>3.0909090909090904</v>
      </c>
    </row>
    <row r="5" spans="1:9" x14ac:dyDescent="0.3">
      <c r="A5" t="s">
        <v>42</v>
      </c>
      <c r="B5">
        <f>AVERAGE(26.4,20.5,14.5,6.4,19.7,20,13.8,13.9,19.9,14.8,9.3,12.9)</f>
        <v>16.008333333333336</v>
      </c>
      <c r="C5">
        <f>AVERAGE(14.7,11.7,5.7,11,16.7,17.5,0,0.4,11,11.2,14.8,8.5)</f>
        <v>10.266666666666667</v>
      </c>
      <c r="D5">
        <f>AVERAGE(20.4,18.2,13.5,20.5,20.8,18.3,20.7,0,0,3.4,0,0)</f>
        <v>11.316666666666665</v>
      </c>
      <c r="F5">
        <f>AVERAGE(0,0,31.3,46.4,0,0,0,0,24.8,36,14.6,22.2)</f>
        <v>14.608333333333333</v>
      </c>
      <c r="G5">
        <f>AVERAGE(0,0,0,0,9.3,15.3,14.6,15.9,0,0,0)</f>
        <v>5.0090909090909088</v>
      </c>
      <c r="H5">
        <f>AVERAGE(14.7,11.7,5.7,11,16.7,17.5,0,0.4,11,11.2,14.8,8.5)</f>
        <v>10.266666666666667</v>
      </c>
    </row>
    <row r="6" spans="1:9" x14ac:dyDescent="0.3">
      <c r="A6" t="s">
        <v>43</v>
      </c>
      <c r="B6">
        <f>AVERAGE(0,0.7,0,0,7.5,0,1.6,0,0,10.5)</f>
        <v>2.0299999999999998</v>
      </c>
      <c r="C6">
        <f>AVERAGE(6.1,4.1,0,13.9,2.3,11.1,52.7,8.2,11.2,0,0,0)</f>
        <v>9.1333333333333346</v>
      </c>
      <c r="H6">
        <f>AVERAGE(6.1,4.1,0,13.9,2.3,11.1,52.7,8.2,11.2,0,0,)</f>
        <v>9.1333333333333346</v>
      </c>
    </row>
    <row r="7" spans="1:9" x14ac:dyDescent="0.3">
      <c r="A7" t="s">
        <v>9</v>
      </c>
      <c r="B7">
        <f>AVERAGE(0,35.2,41,38.9,50,0,32.2,100,0,42.5,44,18)</f>
        <v>33.483333333333334</v>
      </c>
      <c r="C7">
        <f>AVERAGE(0,20.7,25.8,45.5,53.7,34,34.6,,0,0,0,18.8,27.2)</f>
        <v>20.023076923076925</v>
      </c>
      <c r="H7">
        <f>AVERAGE(0,20.7,25.8,45.5,53.7,34,34.6,,0,0,0,18.8,27.2)</f>
        <v>20.023076923076925</v>
      </c>
    </row>
    <row r="8" spans="1:9" x14ac:dyDescent="0.3">
      <c r="A8" t="s">
        <v>10</v>
      </c>
      <c r="B8">
        <f>AVERAGE(0,7.4,11.3,8.1,9.8,34.9,34.5,28.2,32.8,33.6,37.1,29.4)</f>
        <v>22.258333333333329</v>
      </c>
      <c r="C8">
        <f>AVERAGE(0,15.2,21.4,30,29.7,24.5,26.8,20.4,25.2,33.3,28,0)</f>
        <v>21.208333333333332</v>
      </c>
    </row>
    <row r="9" spans="1:9" x14ac:dyDescent="0.3">
      <c r="A9" t="s">
        <v>13</v>
      </c>
      <c r="B9">
        <f>AVERAGE(69.2,54.5,54.9,53.1,45.3,41.2,53.2,67.3,50,48.8,52.2)</f>
        <v>53.609090909090916</v>
      </c>
      <c r="C9">
        <f>AVERAGE(0,30,21.2,25.3,24,40.2,50.8233,24.2,40.9,27.5,7.2)</f>
        <v>26.48393636363636</v>
      </c>
    </row>
    <row r="10" spans="1:9" x14ac:dyDescent="0.3">
      <c r="A10" t="s">
        <v>14</v>
      </c>
      <c r="B10">
        <f>AVERAGE(0,19,18.3,28.6,15.5,16.8,17.7,21.8,0,0,0,0)</f>
        <v>11.475000000000001</v>
      </c>
      <c r="C10">
        <f>AVERAGE(0,0,0,16.7,13.7,14.4,14.6,11.7,12.4,11.9,10,11.3)</f>
        <v>9.7249999999999996</v>
      </c>
    </row>
    <row r="11" spans="1:9" x14ac:dyDescent="0.3">
      <c r="A11" t="s">
        <v>16</v>
      </c>
      <c r="B11">
        <f>AVERAGE(9.8,10.7,12.3,13,15,21.4,37.7,39.4,27.6,34.3,21.7,16.2)</f>
        <v>21.591666666666665</v>
      </c>
      <c r="C11">
        <f>AVERAGE(12.6,16.2,14.8,21.9,19.1,29.4,15.5,17.9,19.8,8.5,7.3,18.6)</f>
        <v>16.8</v>
      </c>
    </row>
    <row r="12" spans="1:9" x14ac:dyDescent="0.3">
      <c r="A12" t="s">
        <v>17</v>
      </c>
      <c r="B12">
        <f>AVERAGE(0,0,0,21.4,21.4,17.3,25.5,15.5,25.1,22.1,17.5,12.9)</f>
        <v>14.891666666666666</v>
      </c>
      <c r="C12">
        <f>AVERAGE(0,13.8,12.6,9.7,17.1,15.2,13,10.1,11.4,14.2,15,8.7)</f>
        <v>11.733333333333333</v>
      </c>
    </row>
    <row r="13" spans="1:9" x14ac:dyDescent="0.3">
      <c r="A13" t="s">
        <v>18</v>
      </c>
      <c r="B13">
        <f>AVERAGE(24.7,22.1,25.4,24,3,0,0,0,0,0,0,0,0)</f>
        <v>7.6307692307692303</v>
      </c>
      <c r="C13">
        <f>AVERAGE(26.2,25.3,13.3,23.6,19.7,12.7,16.3,19,14.5,13.1,16.3,20.4)</f>
        <v>18.366666666666671</v>
      </c>
    </row>
    <row r="14" spans="1:9" x14ac:dyDescent="0.3">
      <c r="A14" t="s">
        <v>19</v>
      </c>
      <c r="B14">
        <f>AVERAGE(0,0,0,0,0,0,0,0,0,50,0,0)</f>
        <v>4.166666666666667</v>
      </c>
      <c r="C14">
        <f>AVERAGE(0,0,0,37.4,0,47,54.4,0,0,0,10,33.6)</f>
        <v>15.200000000000001</v>
      </c>
    </row>
    <row r="15" spans="1:9" x14ac:dyDescent="0.3">
      <c r="A15" t="s">
        <v>44</v>
      </c>
      <c r="B15">
        <f>AVERAGE(0,13.9,11.9,23.7,0,0,0,2.9,0,9,25.4,16.5)</f>
        <v>8.6083333333333325</v>
      </c>
      <c r="C15">
        <f>AVERAGE(0,0,0,0,0,19.7,12.8,10.2,0,14.2,19.1)</f>
        <v>6.9090909090909092</v>
      </c>
    </row>
    <row r="16" spans="1:9" x14ac:dyDescent="0.3">
      <c r="A16" t="s">
        <v>21</v>
      </c>
      <c r="B16">
        <f>AVERAGE(8.2,7.9,12.7,9.8,9.7,7.4,6.1,7.2,8.4,9.9,11.8,2.03)</f>
        <v>8.4275000000000002</v>
      </c>
      <c r="C16">
        <f>AVERAGE(9.9,12.8,9.1,13.3,15.1,7.6,7.7,9.1,6.7,10.1,8.4,7.39725)</f>
        <v>9.7664375000000003</v>
      </c>
    </row>
    <row r="17" spans="1:3" x14ac:dyDescent="0.3">
      <c r="A17" t="s">
        <v>22</v>
      </c>
      <c r="B17">
        <f>AVERAGE(30.9,57.5,44.4,24.7,37.2,11.6,51.3,32.9,12.5,53,37,44.9)</f>
        <v>36.49166666666666</v>
      </c>
      <c r="C17">
        <f>AVERAGE(0,60,60,60,60,68.2,3.5,2.6,23.5,2.6,2.6,0)</f>
        <v>28.583333333333339</v>
      </c>
    </row>
    <row r="18" spans="1:3" x14ac:dyDescent="0.3">
      <c r="A18" t="s">
        <v>23</v>
      </c>
      <c r="B18">
        <f>AVERAGE(0,0,0,0,0,0,0,0,0,0,0)</f>
        <v>0</v>
      </c>
      <c r="C18">
        <f>AVERAGE(0,2.8,3.1,6.6,6.843,2,8.5,9.6,8.8,19.7)</f>
        <v>6.7942999999999998</v>
      </c>
    </row>
    <row r="19" spans="1:3" x14ac:dyDescent="0.3">
      <c r="A19" t="s">
        <v>24</v>
      </c>
      <c r="B19">
        <f>AVERAGE(10.5,23.1,31.2,34,29.5,32.9,30.1,26,23,24.1,29.5,32.7)</f>
        <v>27.216666666666669</v>
      </c>
      <c r="C19">
        <f>AVERAGE(3.8,30,23.9,30,19.7,24.1,19.2,19.4,24.1,25,20.6)</f>
        <v>21.799999999999997</v>
      </c>
    </row>
    <row r="20" spans="1:3" x14ac:dyDescent="0.3">
      <c r="A20" t="s">
        <v>25</v>
      </c>
      <c r="B20">
        <f>AVERAGE(0,0,0,0,0,14.5,34.3,27.8,28.4,17.5,9.8,16.7)</f>
        <v>12.416666666666666</v>
      </c>
      <c r="C20">
        <f>AVERAGE(0,0,4.8,51.6,31.418,11.8,0,9.7,13.5,15.8,9.6)</f>
        <v>13.474363636363636</v>
      </c>
    </row>
    <row r="21" spans="1:3" x14ac:dyDescent="0.3">
      <c r="A21" t="s">
        <v>26</v>
      </c>
      <c r="B21">
        <f>AVERAGE(56.2,45.3,35.8,44.7,42.9,40.3,45.8,43.8,44.1,42.4,43,39.4)</f>
        <v>43.641666666666673</v>
      </c>
      <c r="C21">
        <f>AVERAGE(33.7,25.3,28.5,32.4,29.6,28.3,35.9,29.5,22.1,27,21.1,21.7)</f>
        <v>27.925000000000001</v>
      </c>
    </row>
    <row r="22" spans="1:3" x14ac:dyDescent="0.3">
      <c r="A22" t="s">
        <v>27</v>
      </c>
      <c r="B22">
        <f>AVERAGE(23.2,39.6,39.9,31.5,26.7,29.5,18.1,31.2,26.4,40.5,28.8,40.6)</f>
        <v>31.333333333333332</v>
      </c>
      <c r="C22">
        <f>AVERAGE(29.1,0,33.4,22.4,21,0.9,18,16.8,22.6,22.8,23.2,15.8)</f>
        <v>18.833333333333336</v>
      </c>
    </row>
    <row r="23" spans="1:3" x14ac:dyDescent="0.3">
      <c r="A23" t="s">
        <v>28</v>
      </c>
      <c r="B23">
        <f>AVERAGE(48.1,45.9,46.5,45.7,45.6,43.6,39.5,44.7,48.9,53.7,47)</f>
        <v>46.290909090909082</v>
      </c>
      <c r="C23">
        <f>AVERAGE(0,43.1,39,40.8,42.4,33.8,41.3,37.9,40.8,41.8,42.5,42.2)</f>
        <v>37.133333333333333</v>
      </c>
    </row>
    <row r="24" spans="1:3" x14ac:dyDescent="0.3">
      <c r="A24" t="s">
        <v>29</v>
      </c>
      <c r="B24">
        <f>AVERAGE(2.8,25.4,18.1,5.1,6.1,13.6,14.3,6.3,10.8,33.6,22.6,10.7)</f>
        <v>14.116666666666665</v>
      </c>
      <c r="C24">
        <f>AVERAGE(0,5.3,32.6,10.8,31.1,33.2,0,5.2,23.6,8.7,0,3.6)</f>
        <v>12.841666666666667</v>
      </c>
    </row>
    <row r="25" spans="1:3" x14ac:dyDescent="0.3">
      <c r="A25" t="s">
        <v>30</v>
      </c>
      <c r="B25">
        <f>AVERAGE(48.9,68.9,46.9,54.1,38.6,67,43.7,53,12.1,0,0,76.9)</f>
        <v>42.508333333333333</v>
      </c>
      <c r="C25">
        <f>AVERAGE(26.9,28.3,22.4,37.9,23.5,29.5,27.2,20.8,17.7,12.6,23.8,,36.8)</f>
        <v>23.646153846153844</v>
      </c>
    </row>
    <row r="26" spans="1:3" x14ac:dyDescent="0.3">
      <c r="A26" t="s">
        <v>31</v>
      </c>
      <c r="B26">
        <f>AVERAGE(0.6,0,3,1.2,0.1,0,0.7,1,3.8,4.5,5.1,5)</f>
        <v>2.0833333333333335</v>
      </c>
      <c r="C26">
        <f>AVERAGE(3,3.3,1.6,3.6,5.5,0.4,4.2,0.3,4.2,8.2,4.5,6.6)</f>
        <v>3.7833333333333332</v>
      </c>
    </row>
    <row r="27" spans="1:3" x14ac:dyDescent="0.3">
      <c r="A27" t="s">
        <v>32</v>
      </c>
      <c r="B27">
        <f>AVERAGE(1.1,34.5,30.4,26.1,18.5,31.3,5.8,11.5,29.3,3.2)</f>
        <v>19.170000000000002</v>
      </c>
      <c r="C27">
        <f>AVERAGE(0,39.8,29.7,33.6,36.8,26,34.7,31.1,33.1,2.5,1.8,20.8)</f>
        <v>24.158333333333331</v>
      </c>
    </row>
    <row r="28" spans="1:3" x14ac:dyDescent="0.3">
      <c r="A28" t="s">
        <v>33</v>
      </c>
      <c r="B28">
        <f>AVERAGE(0,0.6,0,0,0,0,0,0,10.7,0.9,29.7,28.4)</f>
        <v>5.8583333333333334</v>
      </c>
      <c r="C28">
        <f>AVERAGE(0,38.6,2.3,23.5,2.7,0,0,0,1.5,39.6,1.2,0.6)</f>
        <v>9.1666666666666679</v>
      </c>
    </row>
    <row r="29" spans="1:3" x14ac:dyDescent="0.3">
      <c r="A29" t="s">
        <v>35</v>
      </c>
      <c r="B29">
        <f>AVERAGE(1.9,5,7.8,10.6,15.7,16.8,15.4,25.6,22.7,20.4,15.3,11.1)</f>
        <v>14.025</v>
      </c>
      <c r="C29">
        <f>AVERAGE(9.5,8.3,9,11.1,12.2,10,8.9,9,11.1,12.3,10.5,5.5)</f>
        <v>9.7833333333333332</v>
      </c>
    </row>
    <row r="30" spans="1:3" x14ac:dyDescent="0.3">
      <c r="A30" t="s">
        <v>36</v>
      </c>
      <c r="B30">
        <f>AVERAGE(9.6,20.5,20.5,24.5,17,14.4,17.1,13.1,11.8,10.9,7.3,18.5)</f>
        <v>15.433333333333335</v>
      </c>
      <c r="C30">
        <f>AVERAGE(0,21.6,19.8,0,22,23.2,17.1,6.6,10.6,18.5,14.2,0)</f>
        <v>12.799999999999999</v>
      </c>
    </row>
    <row r="31" spans="1:3" x14ac:dyDescent="0.3">
      <c r="A31" t="s">
        <v>37</v>
      </c>
      <c r="B31">
        <f>AVERAGE(13.6,22,31.4,15.1,39.1,19,29.7,20.2,18.7,25.4,0.3,27.2)</f>
        <v>21.808333333333334</v>
      </c>
      <c r="C31">
        <f>AVERAGE(0,64.4,28.8,23.3,13.4,16.3,15.1,17.8,16.9,22.9,25.9,21.4)</f>
        <v>22.183333333333337</v>
      </c>
    </row>
    <row r="32" spans="1:3" x14ac:dyDescent="0.3">
      <c r="A32" t="s">
        <v>38</v>
      </c>
      <c r="B32">
        <f>AVERAGE(3.1,7.3,7.1,16.3,9.9,9.3,11.9,7.7,7.6,2.1,6,3)</f>
        <v>7.6083333333333334</v>
      </c>
      <c r="C32">
        <f>AVERAGE(5.9,14.2,17.9,24,25.1,21.7,16.6,15.1,11.7,12.1,25.8,11.7)</f>
        <v>16.816666666666666</v>
      </c>
    </row>
    <row r="33" spans="1:3" x14ac:dyDescent="0.3">
      <c r="A33" t="s">
        <v>39</v>
      </c>
      <c r="B33">
        <f>AVERAGE(23.5,0,0,0,0,4.1,33,18.9,15.4,1.3,0,0.3)</f>
        <v>8.0416666666666661</v>
      </c>
      <c r="C33">
        <f>AVERAGE(53.8,0,0,100,50,39.1,68.8,9,9,50,20,28.1)</f>
        <v>35.65</v>
      </c>
    </row>
    <row r="34" spans="1:3" x14ac:dyDescent="0.3">
      <c r="A34" t="s">
        <v>40</v>
      </c>
      <c r="B34">
        <f>AVERAGE(16.5,24.1,30.4,23.7,0,22.5,28.6,24,17.3,12.9,61.7,0)</f>
        <v>21.808333333333337</v>
      </c>
      <c r="C34">
        <f>AVERAGE(9.2,10.3,1.2,27,15,18.8,7.3,17.4,33.5,20.8,18.6,22.1)</f>
        <v>16.766666666666666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C6FDD7BFB8C5340ADD6F4CDE1756733" ma:contentTypeVersion="10" ma:contentTypeDescription="Crear nuevo documento." ma:contentTypeScope="" ma:versionID="5018a29776b5e08ddf5987d6a4b748b5">
  <xsd:schema xmlns:xsd="http://www.w3.org/2001/XMLSchema" xmlns:xs="http://www.w3.org/2001/XMLSchema" xmlns:p="http://schemas.microsoft.com/office/2006/metadata/properties" xmlns:ns3="ab0f4826-a785-4e0d-84e7-46045cc53c02" xmlns:ns4="a5aecd68-443f-4b11-89cd-ea8be263806c" targetNamespace="http://schemas.microsoft.com/office/2006/metadata/properties" ma:root="true" ma:fieldsID="9e7d874ac1d9f589b0e9ffcd9bbdcd30" ns3:_="" ns4:_="">
    <xsd:import namespace="ab0f4826-a785-4e0d-84e7-46045cc53c02"/>
    <xsd:import namespace="a5aecd68-443f-4b11-89cd-ea8be263806c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0f4826-a785-4e0d-84e7-46045cc53c0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aecd68-443f-4b11-89cd-ea8be263806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946B607-4363-408D-8AC9-3E90BBFE620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43C046-60E7-41CF-85BA-F2B2BB88C7C9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B0137C17-8DA3-42B4-ABB7-8FEC1DDAECD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0f4826-a785-4e0d-84e7-46045cc53c02"/>
    <ds:schemaRef ds:uri="a5aecd68-443f-4b11-89cd-ea8be263806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EDA Incidencia</vt:lpstr>
      <vt:lpstr>EDA mortalidad</vt:lpstr>
      <vt:lpstr>IRCA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Santiago</dc:creator>
  <cp:keywords/>
  <dc:description/>
  <cp:lastModifiedBy>juan sebastian zapata acosta</cp:lastModifiedBy>
  <cp:revision/>
  <dcterms:created xsi:type="dcterms:W3CDTF">2022-11-21T19:54:49Z</dcterms:created>
  <dcterms:modified xsi:type="dcterms:W3CDTF">2022-11-29T18:53:54Z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0x0101002C6FDD7BFB8C5340ADD6F4CDE1756733</vt:lpwstr>
  </property>
</Properties>
</file>